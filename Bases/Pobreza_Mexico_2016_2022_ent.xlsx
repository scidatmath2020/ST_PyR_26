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conometrics Data Lab\Econometría espacial\Econometría_espacial_mar24\Bases\"/>
    </mc:Choice>
  </mc:AlternateContent>
  <xr:revisionPtr revIDLastSave="0" documentId="13_ncr:1_{BDBDB0C0-8339-45CE-8032-8A8013891410}" xr6:coauthVersionLast="47" xr6:coauthVersionMax="47" xr10:uidLastSave="{00000000-0000-0000-0000-000000000000}"/>
  <bookViews>
    <workbookView xWindow="-108" yWindow="-108" windowWidth="23256" windowHeight="12456" xr2:uid="{DBE41102-A513-4C28-BF55-D83B2293BFF4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2" i="1"/>
</calcChain>
</file>

<file path=xl/sharedStrings.xml><?xml version="1.0" encoding="utf-8"?>
<sst xmlns="http://schemas.openxmlformats.org/spreadsheetml/2006/main" count="267" uniqueCount="75">
  <si>
    <t>CVE_ENT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</si>
  <si>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</si>
  <si>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</si>
  <si>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</si>
  <si>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</si>
  <si>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</si>
  <si>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</si>
  <si>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</si>
  <si>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</si>
  <si>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</si>
  <si>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</si>
  <si>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</si>
  <si>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</si>
  <si>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</si>
  <si>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</si>
  <si>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</si>
  <si>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</si>
  <si>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</si>
  <si>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</si>
  <si>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</si>
  <si>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</si>
  <si>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</si>
  <si>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</si>
  <si>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</si>
  <si>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</si>
  <si>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</si>
  <si>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</si>
  <si>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</si>
  <si>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</si>
  <si>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</si>
  <si>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</si>
  <si>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</si>
  <si>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</si>
  <si>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NOM_ENT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</si>
  <si>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</si>
  <si>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</si>
  <si>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</si>
  <si>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</si>
  <si>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</si>
  <si>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</si>
  <si>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</si>
  <si>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</si>
  <si>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</si>
  <si>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</si>
  <si>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</si>
  <si>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</si>
  <si>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</si>
  <si>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</si>
  <si>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</si>
  <si>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</si>
  <si>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</si>
  <si>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</si>
  <si>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</si>
  <si>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</si>
  <si>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</si>
  <si>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</si>
  <si>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</si>
  <si>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</si>
  <si>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</si>
  <si>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</si>
  <si>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</si>
  <si>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</si>
  <si>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</si>
  <si>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</si>
  <si>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</si>
  <si>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</si>
  <si>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Año</t>
  </si>
  <si>
    <t>Pobreza_per</t>
  </si>
  <si>
    <t>PIB</t>
  </si>
  <si>
    <t>Población</t>
  </si>
  <si>
    <t>Ocupacion</t>
  </si>
  <si>
    <t>Desocupacion</t>
  </si>
  <si>
    <t>PIB_percapita</t>
  </si>
  <si>
    <t>Ocupacion_rel</t>
  </si>
  <si>
    <t>Desocupacion_rel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</si>
</sst>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">
    <xf numFmtId="0" fontId="0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</cellStyleXfs>
  <cellXfs count="3">
    <xf numFmtId="0" fontId="0" fillId="0" borderId="0" xfId="0"/>
    <xf numFmtId="49" fontId="0" fillId="0" borderId="0" xfId="0" applyNumberFormat="1"/>
    <xf numFmtId="0" fontId="6" fillId="0" borderId="0" xfId="17" applyNumberFormat="1" applyAlignment="1">
      <alignment horizontal="left" vertical="top"/>
    </xf>
  </cellXfs>
  <cellStyles count="18">
    <cellStyle name="Millares 2" xfId="2" xr:uid="{099FB629-9219-4D9B-B900-88D3941DB28C}"/>
    <cellStyle name="Normal" xfId="0" builtinId="0"/>
    <cellStyle name="Normal 10" xfId="3" xr:uid="{1FE03038-83D5-466A-83E6-D75C7E9BB3B6}"/>
    <cellStyle name="Normal 11 2" xfId="4" xr:uid="{F94FC43D-88F0-49E0-972B-957722F30B52}"/>
    <cellStyle name="Normal 2" xfId="5" xr:uid="{26246650-D2FB-4AC7-BF69-19141F479304}"/>
    <cellStyle name="Normal 2 2 2" xfId="6" xr:uid="{BCF72708-0179-4810-879B-3C052CF89A33}"/>
    <cellStyle name="Normal 2 3" xfId="7" xr:uid="{BF4EF748-F599-4FD9-8C2C-6CEFC4BB0FA6}"/>
    <cellStyle name="Normal 3" xfId="8" xr:uid="{BD1ADC1B-9B25-4FCA-91E5-89F0E40194C2}"/>
    <cellStyle name="Normal 4" xfId="9" xr:uid="{8594E5BB-08CC-40B8-BAA8-5DB68E5749B3}"/>
    <cellStyle name="Normal 5" xfId="1" xr:uid="{1D50AA95-4D28-4218-8431-E82E80A2058E}"/>
    <cellStyle name="Normal 6" xfId="10" xr:uid="{F3452D9F-DD5A-443A-980E-E209888BC23C}"/>
    <cellStyle name="Normal 7" xfId="17" xr:uid="{F096C6D1-F517-4C7E-9674-AD71DA67100B}"/>
    <cellStyle name="Normal 9" xfId="11" xr:uid="{C062B086-943F-40D8-955B-86C7F0008F3F}"/>
    <cellStyle name="Normal 9 2" xfId="12" xr:uid="{29A391E4-04EE-4512-BA9D-6138F5B0945F}"/>
    <cellStyle name="Normal 9 2 2" xfId="13" xr:uid="{799CA1CD-7C2E-4981-AC10-B2E75ED13C4F}"/>
    <cellStyle name="Normal 9 3" xfId="14" xr:uid="{9A4BA3C3-750D-4C7E-BCA9-6C44D2C324E0}"/>
    <cellStyle name="Porcentaje 2" xfId="15" xr:uid="{C8654789-850B-4241-9871-A5E8B299A4AC}"/>
    <cellStyle name="Porcentual 2 2" xfId="16" xr:uid="{6CA7D93C-1851-457D-968D-A2AF02A83C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44DE-1E37-4E31-9925-E1E41637BB79}">
  <dimension ref="A1:K129"/>
  <sheetViews>
    <sheetView tabSelected="1" workbookViewId="0">
      <selection activeCell="M6" sqref="M6"/>
    </sheetView>
  </sheetViews>
  <sheetFormatPr baseColWidth="10" defaultRowHeight="14.4" x14ac:dyDescent="0.3"/>
  <cols>
    <col min="1" max="1" width="11.5546875" style="1"/>
    <col min="2" max="2" width="25.44140625" bestFit="1" customWidth="1"/>
  </cols>
  <sheetData>
    <row r="1" spans="1:11" x14ac:dyDescent="0.3">
      <c r="A1" s="1" t="s">
        <v>0</v>
      </c>
      <c r="B1" t="s">
        <v>33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73</v>
      </c>
      <c r="J1" t="s">
        <v>74</v>
      </c>
      <c r="K1" t="s">
        <v>72</v>
      </c>
    </row>
    <row r="2" spans="1:11" x14ac:dyDescent="0.3">
      <c r="A2" s="1" t="s">
        <v>1</v>
      </c>
      <c r="B2" t="s">
        <v>34</v>
      </c>
      <c r="C2">
        <v>2016</v>
      </c>
      <c r="D2">
        <v>28.9</v>
      </c>
      <c r="E2">
        <v>307395.84100000001</v>
      </c>
      <c r="F2">
        <v>1367412</v>
      </c>
      <c r="G2" s="2">
        <v>549236</v>
      </c>
      <c r="H2" s="2">
        <v>22199</v>
      </c>
      <c r="I2" s="2">
        <f>G2/(G2+H2)</f>
        <v>0.96115218703789584</v>
      </c>
      <c r="J2" s="2">
        <f>H2/(G2+H2)</f>
        <v>3.8847812962104177E-2</v>
      </c>
      <c r="K2">
        <f>(E2*1000000)/F2</f>
        <v>224801.1872061968</v>
      </c>
    </row>
    <row r="3" spans="1:11" x14ac:dyDescent="0.3">
      <c r="A3" s="1" t="s">
        <v>2</v>
      </c>
      <c r="B3" t="s">
        <v>35</v>
      </c>
      <c r="C3">
        <v>2016</v>
      </c>
      <c r="D3">
        <v>22.6</v>
      </c>
      <c r="E3">
        <v>828692.24699999997</v>
      </c>
      <c r="F3">
        <v>3490609</v>
      </c>
      <c r="G3" s="2">
        <v>1634768</v>
      </c>
      <c r="H3" s="2">
        <v>38784</v>
      </c>
      <c r="I3" s="2">
        <f t="shared" ref="I3:I66" si="0">G3/(G3+H3)</f>
        <v>0.97682533915886693</v>
      </c>
      <c r="J3" s="2">
        <f t="shared" ref="J3:J66" si="1">H3/(G3+H3)</f>
        <v>2.3174660841133111E-2</v>
      </c>
      <c r="K3">
        <f t="shared" ref="K3:K66" si="2">(E3*1000000)/F3</f>
        <v>237406.20820034554</v>
      </c>
    </row>
    <row r="4" spans="1:11" x14ac:dyDescent="0.3">
      <c r="A4" s="1" t="s">
        <v>3</v>
      </c>
      <c r="B4" t="s">
        <v>36</v>
      </c>
      <c r="C4">
        <v>2016</v>
      </c>
      <c r="D4">
        <v>22.9</v>
      </c>
      <c r="E4">
        <v>163094.64799999999</v>
      </c>
      <c r="F4">
        <v>746827</v>
      </c>
      <c r="G4" s="2">
        <v>348452</v>
      </c>
      <c r="H4" s="2">
        <v>15268</v>
      </c>
      <c r="I4" s="2">
        <f t="shared" si="0"/>
        <v>0.95802265478939841</v>
      </c>
      <c r="J4" s="2">
        <f t="shared" si="1"/>
        <v>4.1977345210601563E-2</v>
      </c>
      <c r="K4">
        <f t="shared" si="2"/>
        <v>218383.43819920812</v>
      </c>
    </row>
    <row r="5" spans="1:11" x14ac:dyDescent="0.3">
      <c r="A5" s="1" t="s">
        <v>4</v>
      </c>
      <c r="B5" t="s">
        <v>37</v>
      </c>
      <c r="C5">
        <v>2016</v>
      </c>
      <c r="D5">
        <v>45.7</v>
      </c>
      <c r="E5">
        <v>663239.24199999997</v>
      </c>
      <c r="F5">
        <v>923399</v>
      </c>
      <c r="G5" s="2">
        <v>367764</v>
      </c>
      <c r="H5" s="2">
        <v>15095</v>
      </c>
      <c r="I5" s="2">
        <f t="shared" si="0"/>
        <v>0.9605729524446337</v>
      </c>
      <c r="J5" s="2">
        <f t="shared" si="1"/>
        <v>3.9427047555366336E-2</v>
      </c>
      <c r="K5">
        <f t="shared" si="2"/>
        <v>718258.56644852331</v>
      </c>
    </row>
    <row r="6" spans="1:11" x14ac:dyDescent="0.3">
      <c r="A6" s="1" t="s">
        <v>5</v>
      </c>
      <c r="B6" t="s">
        <v>38</v>
      </c>
      <c r="C6">
        <v>2016</v>
      </c>
      <c r="D6">
        <v>27.1</v>
      </c>
      <c r="E6">
        <v>901719.48400000005</v>
      </c>
      <c r="F6">
        <v>5453377</v>
      </c>
      <c r="G6" s="2">
        <v>1291830</v>
      </c>
      <c r="H6" s="2">
        <v>53144</v>
      </c>
      <c r="I6" s="2">
        <f t="shared" si="0"/>
        <v>0.96048696852132454</v>
      </c>
      <c r="J6" s="2">
        <f t="shared" si="1"/>
        <v>3.9513031478675423E-2</v>
      </c>
      <c r="K6">
        <f t="shared" si="2"/>
        <v>165350.65960046407</v>
      </c>
    </row>
    <row r="7" spans="1:11" x14ac:dyDescent="0.3">
      <c r="A7" s="1" t="s">
        <v>6</v>
      </c>
      <c r="B7" t="s">
        <v>39</v>
      </c>
      <c r="C7">
        <v>2016</v>
      </c>
      <c r="D7">
        <v>32.5</v>
      </c>
      <c r="E7">
        <v>140705.23800000001</v>
      </c>
      <c r="F7">
        <v>3657794</v>
      </c>
      <c r="G7" s="2">
        <v>333886</v>
      </c>
      <c r="H7" s="2">
        <v>12056</v>
      </c>
      <c r="I7" s="2">
        <f t="shared" si="0"/>
        <v>0.96515022749478241</v>
      </c>
      <c r="J7" s="2">
        <f t="shared" si="1"/>
        <v>3.484977250521764E-2</v>
      </c>
      <c r="K7">
        <f t="shared" si="2"/>
        <v>38467.239543834345</v>
      </c>
    </row>
    <row r="8" spans="1:11" x14ac:dyDescent="0.3">
      <c r="A8" s="1" t="s">
        <v>7</v>
      </c>
      <c r="B8" t="s">
        <v>40</v>
      </c>
      <c r="C8">
        <v>2016</v>
      </c>
      <c r="D8">
        <v>77.900000000000006</v>
      </c>
      <c r="E8">
        <v>369919.28700000001</v>
      </c>
      <c r="F8">
        <v>9196836</v>
      </c>
      <c r="G8" s="2">
        <v>1851160</v>
      </c>
      <c r="H8" s="2">
        <v>51834</v>
      </c>
      <c r="I8" s="2">
        <f t="shared" si="0"/>
        <v>0.97276186892864613</v>
      </c>
      <c r="J8" s="2">
        <f t="shared" si="1"/>
        <v>2.7238131071353876E-2</v>
      </c>
      <c r="K8">
        <f t="shared" si="2"/>
        <v>40222.451177774616</v>
      </c>
    </row>
    <row r="9" spans="1:11" x14ac:dyDescent="0.3">
      <c r="A9" s="1" t="s">
        <v>8</v>
      </c>
      <c r="B9" t="s">
        <v>41</v>
      </c>
      <c r="C9">
        <v>2016</v>
      </c>
      <c r="D9">
        <v>30.7</v>
      </c>
      <c r="E9">
        <v>830488.50899999996</v>
      </c>
      <c r="F9">
        <v>3053932</v>
      </c>
      <c r="G9" s="2">
        <v>1569414</v>
      </c>
      <c r="H9" s="2">
        <v>38014</v>
      </c>
      <c r="I9" s="2">
        <f t="shared" si="0"/>
        <v>0.97635104029542852</v>
      </c>
      <c r="J9" s="2">
        <f t="shared" si="1"/>
        <v>2.3648959704571527E-2</v>
      </c>
      <c r="K9">
        <f t="shared" si="2"/>
        <v>271940.7337818917</v>
      </c>
    </row>
    <row r="10" spans="1:11" x14ac:dyDescent="0.3">
      <c r="A10" s="1" t="s">
        <v>9</v>
      </c>
      <c r="B10" t="s">
        <v>42</v>
      </c>
      <c r="C10">
        <v>2016</v>
      </c>
      <c r="D10">
        <v>26.6</v>
      </c>
      <c r="E10">
        <v>3571368.1880000001</v>
      </c>
      <c r="F10">
        <v>728544</v>
      </c>
      <c r="G10" s="2">
        <v>4303094</v>
      </c>
      <c r="H10" s="2">
        <v>194956</v>
      </c>
      <c r="I10" s="2">
        <f t="shared" si="0"/>
        <v>0.95665766276497588</v>
      </c>
      <c r="J10" s="2">
        <f t="shared" si="1"/>
        <v>4.3342337235024064E-2</v>
      </c>
      <c r="K10">
        <f t="shared" si="2"/>
        <v>4902062.4533315767</v>
      </c>
    </row>
    <row r="11" spans="1:11" x14ac:dyDescent="0.3">
      <c r="A11" s="1" t="s">
        <v>10</v>
      </c>
      <c r="B11" t="s">
        <v>43</v>
      </c>
      <c r="C11">
        <v>2016</v>
      </c>
      <c r="D11">
        <v>37.200000000000003</v>
      </c>
      <c r="E11">
        <v>305382.234</v>
      </c>
      <c r="F11">
        <v>1806708</v>
      </c>
      <c r="G11" s="2">
        <v>742828</v>
      </c>
      <c r="H11" s="2">
        <v>27036</v>
      </c>
      <c r="I11" s="2">
        <f t="shared" si="0"/>
        <v>0.96488210904783178</v>
      </c>
      <c r="J11" s="2">
        <f t="shared" si="1"/>
        <v>3.5117890952168176E-2</v>
      </c>
      <c r="K11">
        <f t="shared" si="2"/>
        <v>169026.88979071326</v>
      </c>
    </row>
    <row r="12" spans="1:11" x14ac:dyDescent="0.3">
      <c r="A12" s="1" t="s">
        <v>11</v>
      </c>
      <c r="B12" t="s">
        <v>44</v>
      </c>
      <c r="C12">
        <v>2016</v>
      </c>
      <c r="D12">
        <v>39.4</v>
      </c>
      <c r="E12">
        <v>1064742.5190000001</v>
      </c>
      <c r="F12">
        <v>6042559</v>
      </c>
      <c r="G12" s="2">
        <v>2512018</v>
      </c>
      <c r="H12" s="2">
        <v>107210</v>
      </c>
      <c r="I12" s="2">
        <f t="shared" si="0"/>
        <v>0.95906809181942165</v>
      </c>
      <c r="J12" s="2">
        <f t="shared" si="1"/>
        <v>4.0931908180578402E-2</v>
      </c>
      <c r="K12">
        <f t="shared" si="2"/>
        <v>176207.21932545467</v>
      </c>
    </row>
    <row r="13" spans="1:11" x14ac:dyDescent="0.3">
      <c r="A13" s="1" t="s">
        <v>12</v>
      </c>
      <c r="B13" t="s">
        <v>45</v>
      </c>
      <c r="C13">
        <v>2016</v>
      </c>
      <c r="D13">
        <v>66.8</v>
      </c>
      <c r="E13">
        <v>313422.06</v>
      </c>
      <c r="F13">
        <v>3621045</v>
      </c>
      <c r="G13" s="2">
        <v>1350097</v>
      </c>
      <c r="H13" s="2">
        <v>22696</v>
      </c>
      <c r="I13" s="2">
        <f t="shared" si="0"/>
        <v>0.98346728166591757</v>
      </c>
      <c r="J13" s="2">
        <f t="shared" si="1"/>
        <v>1.6532718334082413E-2</v>
      </c>
      <c r="K13">
        <f t="shared" si="2"/>
        <v>86555.693176969638</v>
      </c>
    </row>
    <row r="14" spans="1:11" x14ac:dyDescent="0.3">
      <c r="A14" s="1" t="s">
        <v>13</v>
      </c>
      <c r="B14" t="s">
        <v>46</v>
      </c>
      <c r="C14">
        <v>2016</v>
      </c>
      <c r="D14">
        <v>56.9</v>
      </c>
      <c r="E14">
        <v>418466.27</v>
      </c>
      <c r="F14">
        <v>2971554</v>
      </c>
      <c r="G14" s="2">
        <v>1206968</v>
      </c>
      <c r="H14" s="2">
        <v>33087</v>
      </c>
      <c r="I14" s="2">
        <f t="shared" si="0"/>
        <v>0.97331811895440123</v>
      </c>
      <c r="J14" s="2">
        <f t="shared" si="1"/>
        <v>2.6681881045598783E-2</v>
      </c>
      <c r="K14">
        <f t="shared" si="2"/>
        <v>140824.05031172241</v>
      </c>
    </row>
    <row r="15" spans="1:11" x14ac:dyDescent="0.3">
      <c r="A15" s="1" t="s">
        <v>14</v>
      </c>
      <c r="B15" t="s">
        <v>47</v>
      </c>
      <c r="C15">
        <v>2016</v>
      </c>
      <c r="D15">
        <v>30.5</v>
      </c>
      <c r="E15">
        <v>1676418.736</v>
      </c>
      <c r="F15">
        <v>8134729</v>
      </c>
      <c r="G15" s="2">
        <v>3531798</v>
      </c>
      <c r="H15" s="2">
        <v>119552</v>
      </c>
      <c r="I15" s="2">
        <f t="shared" si="0"/>
        <v>0.96725813740123512</v>
      </c>
      <c r="J15" s="2">
        <f t="shared" si="1"/>
        <v>3.274186259876484E-2</v>
      </c>
      <c r="K15">
        <f t="shared" si="2"/>
        <v>206081.69442399373</v>
      </c>
    </row>
    <row r="16" spans="1:11" x14ac:dyDescent="0.3">
      <c r="A16" s="1" t="s">
        <v>15</v>
      </c>
      <c r="B16" t="s">
        <v>48</v>
      </c>
      <c r="C16">
        <v>2016</v>
      </c>
      <c r="D16">
        <v>46.6</v>
      </c>
      <c r="E16">
        <v>2058752.8019999999</v>
      </c>
      <c r="F16">
        <v>16737401</v>
      </c>
      <c r="G16" s="2">
        <v>6847798</v>
      </c>
      <c r="H16" s="2">
        <v>343963</v>
      </c>
      <c r="I16" s="2">
        <f t="shared" si="0"/>
        <v>0.95217263198818758</v>
      </c>
      <c r="J16" s="2">
        <f t="shared" si="1"/>
        <v>4.7827368011812407E-2</v>
      </c>
      <c r="K16">
        <f t="shared" si="2"/>
        <v>123003.13543303408</v>
      </c>
    </row>
    <row r="17" spans="1:11" x14ac:dyDescent="0.3">
      <c r="A17" s="1" t="s">
        <v>16</v>
      </c>
      <c r="B17" t="s">
        <v>49</v>
      </c>
      <c r="C17">
        <v>2016</v>
      </c>
      <c r="D17">
        <v>54.2</v>
      </c>
      <c r="E17">
        <v>591409.51899999997</v>
      </c>
      <c r="F17">
        <v>4712935</v>
      </c>
      <c r="G17" s="2">
        <v>1893806</v>
      </c>
      <c r="H17" s="2">
        <v>47266</v>
      </c>
      <c r="I17" s="2">
        <f t="shared" si="0"/>
        <v>0.97564953798725651</v>
      </c>
      <c r="J17" s="2">
        <f t="shared" si="1"/>
        <v>2.4350462012743473E-2</v>
      </c>
      <c r="K17">
        <f t="shared" si="2"/>
        <v>125486.4578017732</v>
      </c>
    </row>
    <row r="18" spans="1:11" x14ac:dyDescent="0.3">
      <c r="A18" s="1" t="s">
        <v>17</v>
      </c>
      <c r="B18" t="s">
        <v>50</v>
      </c>
      <c r="C18">
        <v>2016</v>
      </c>
      <c r="D18">
        <v>46.7</v>
      </c>
      <c r="E18">
        <v>274364.86900000001</v>
      </c>
      <c r="F18">
        <v>1955483</v>
      </c>
      <c r="G18" s="2">
        <v>784872</v>
      </c>
      <c r="H18" s="2">
        <v>18390</v>
      </c>
      <c r="I18" s="2">
        <f t="shared" si="0"/>
        <v>0.97710585089298385</v>
      </c>
      <c r="J18" s="2">
        <f t="shared" si="1"/>
        <v>2.2894149107016142E-2</v>
      </c>
      <c r="K18">
        <f t="shared" si="2"/>
        <v>140305.42275233279</v>
      </c>
    </row>
    <row r="19" spans="1:11" x14ac:dyDescent="0.3">
      <c r="A19" s="1" t="s">
        <v>18</v>
      </c>
      <c r="B19" t="s">
        <v>51</v>
      </c>
      <c r="C19">
        <v>2016</v>
      </c>
      <c r="D19">
        <v>38.1</v>
      </c>
      <c r="E19">
        <v>152585.94099999999</v>
      </c>
      <c r="F19">
        <v>1209787</v>
      </c>
      <c r="G19" s="2">
        <v>537354</v>
      </c>
      <c r="H19" s="2">
        <v>20147</v>
      </c>
      <c r="I19" s="2">
        <f t="shared" si="0"/>
        <v>0.96386194822968929</v>
      </c>
      <c r="J19" s="2">
        <f t="shared" si="1"/>
        <v>3.6138051770310729E-2</v>
      </c>
      <c r="K19">
        <f t="shared" si="2"/>
        <v>126126.28586685094</v>
      </c>
    </row>
    <row r="20" spans="1:11" x14ac:dyDescent="0.3">
      <c r="A20" s="1" t="s">
        <v>19</v>
      </c>
      <c r="B20" t="s">
        <v>52</v>
      </c>
      <c r="C20">
        <v>2016</v>
      </c>
      <c r="D20">
        <v>18.8</v>
      </c>
      <c r="E20">
        <v>1743960.8829999999</v>
      </c>
      <c r="F20">
        <v>5392796</v>
      </c>
      <c r="G20" s="2">
        <v>2415752</v>
      </c>
      <c r="H20" s="2">
        <v>104102</v>
      </c>
      <c r="I20" s="2">
        <f t="shared" si="0"/>
        <v>0.95868728902547529</v>
      </c>
      <c r="J20" s="2">
        <f t="shared" si="1"/>
        <v>4.1312710974524713E-2</v>
      </c>
      <c r="K20">
        <f t="shared" si="2"/>
        <v>323387.14147540531</v>
      </c>
    </row>
    <row r="21" spans="1:11" x14ac:dyDescent="0.3">
      <c r="A21" s="1" t="s">
        <v>20</v>
      </c>
      <c r="B21" t="s">
        <v>53</v>
      </c>
      <c r="C21">
        <v>2016</v>
      </c>
      <c r="D21">
        <v>68</v>
      </c>
      <c r="E21">
        <v>399767.90299999999</v>
      </c>
      <c r="F21">
        <v>4095378</v>
      </c>
      <c r="G21" s="2">
        <v>1633062</v>
      </c>
      <c r="H21" s="2">
        <v>28836</v>
      </c>
      <c r="I21" s="2">
        <f t="shared" si="0"/>
        <v>0.98264875461670931</v>
      </c>
      <c r="J21" s="2">
        <f t="shared" si="1"/>
        <v>1.7351245383290671E-2</v>
      </c>
      <c r="K21">
        <f t="shared" si="2"/>
        <v>97614.408975191051</v>
      </c>
    </row>
    <row r="22" spans="1:11" x14ac:dyDescent="0.3">
      <c r="A22" s="1" t="s">
        <v>21</v>
      </c>
      <c r="B22" t="s">
        <v>54</v>
      </c>
      <c r="C22">
        <v>2016</v>
      </c>
      <c r="D22">
        <v>58.1</v>
      </c>
      <c r="E22">
        <v>781511.06499999994</v>
      </c>
      <c r="F22">
        <v>6407953</v>
      </c>
      <c r="G22" s="2">
        <v>2735753</v>
      </c>
      <c r="H22" s="2">
        <v>78183</v>
      </c>
      <c r="I22" s="2">
        <f t="shared" si="0"/>
        <v>0.97221578600224023</v>
      </c>
      <c r="J22" s="2">
        <f t="shared" si="1"/>
        <v>2.7784213997759721E-2</v>
      </c>
      <c r="K22">
        <f t="shared" si="2"/>
        <v>121959.55010905978</v>
      </c>
    </row>
    <row r="23" spans="1:11" x14ac:dyDescent="0.3">
      <c r="A23" s="1" t="s">
        <v>22</v>
      </c>
      <c r="B23" t="s">
        <v>55</v>
      </c>
      <c r="C23">
        <v>2016</v>
      </c>
      <c r="D23">
        <v>29.7</v>
      </c>
      <c r="E23">
        <v>576734.826</v>
      </c>
      <c r="F23">
        <v>2168910</v>
      </c>
      <c r="G23" s="2">
        <v>820855</v>
      </c>
      <c r="H23" s="2">
        <v>39540</v>
      </c>
      <c r="I23" s="2">
        <f t="shared" si="0"/>
        <v>0.95404436334474285</v>
      </c>
      <c r="J23" s="2">
        <f t="shared" si="1"/>
        <v>4.5955636655257176E-2</v>
      </c>
      <c r="K23">
        <f t="shared" si="2"/>
        <v>265909.98519993917</v>
      </c>
    </row>
    <row r="24" spans="1:11" x14ac:dyDescent="0.3">
      <c r="A24" s="1" t="s">
        <v>23</v>
      </c>
      <c r="B24" t="s">
        <v>56</v>
      </c>
      <c r="C24">
        <v>2016</v>
      </c>
      <c r="D24">
        <v>31.7</v>
      </c>
      <c r="E24">
        <v>339733.43699999998</v>
      </c>
      <c r="F24">
        <v>1622307</v>
      </c>
      <c r="G24" s="2">
        <v>812276</v>
      </c>
      <c r="H24" s="2">
        <v>32171</v>
      </c>
      <c r="I24" s="2">
        <f t="shared" si="0"/>
        <v>0.96190287845181521</v>
      </c>
      <c r="J24" s="2">
        <f t="shared" si="1"/>
        <v>3.8097121548184787E-2</v>
      </c>
      <c r="K24">
        <f t="shared" si="2"/>
        <v>209413.77741697471</v>
      </c>
    </row>
    <row r="25" spans="1:11" x14ac:dyDescent="0.3">
      <c r="A25" s="1" t="s">
        <v>24</v>
      </c>
      <c r="B25" t="s">
        <v>57</v>
      </c>
      <c r="C25">
        <v>2016</v>
      </c>
      <c r="D25">
        <v>44.1</v>
      </c>
      <c r="E25">
        <v>505856.10399999999</v>
      </c>
      <c r="F25">
        <v>2800720</v>
      </c>
      <c r="G25" s="2">
        <v>1162189</v>
      </c>
      <c r="H25" s="2">
        <v>23952</v>
      </c>
      <c r="I25" s="2">
        <f t="shared" si="0"/>
        <v>0.97980678519670095</v>
      </c>
      <c r="J25" s="2">
        <f t="shared" si="1"/>
        <v>2.0193214803299102E-2</v>
      </c>
      <c r="K25">
        <f t="shared" si="2"/>
        <v>180616.45005569997</v>
      </c>
    </row>
    <row r="26" spans="1:11" x14ac:dyDescent="0.3">
      <c r="A26" s="1" t="s">
        <v>25</v>
      </c>
      <c r="B26" t="s">
        <v>58</v>
      </c>
      <c r="C26">
        <v>2016</v>
      </c>
      <c r="D26">
        <v>30.5</v>
      </c>
      <c r="E26">
        <v>507491.75699999998</v>
      </c>
      <c r="F26">
        <v>3032732</v>
      </c>
      <c r="G26" s="2">
        <v>1312510</v>
      </c>
      <c r="H26" s="2">
        <v>38511</v>
      </c>
      <c r="I26" s="2">
        <f t="shared" si="0"/>
        <v>0.97149489164121061</v>
      </c>
      <c r="J26" s="2">
        <f t="shared" si="1"/>
        <v>2.8505108358789388E-2</v>
      </c>
      <c r="K26">
        <f t="shared" si="2"/>
        <v>167338.14824389364</v>
      </c>
    </row>
    <row r="27" spans="1:11" x14ac:dyDescent="0.3">
      <c r="A27" s="1" t="s">
        <v>26</v>
      </c>
      <c r="B27" t="s">
        <v>59</v>
      </c>
      <c r="C27">
        <v>2016</v>
      </c>
      <c r="D27">
        <v>27</v>
      </c>
      <c r="E27">
        <v>792034.33700000006</v>
      </c>
      <c r="F27">
        <v>2920813</v>
      </c>
      <c r="G27" s="2">
        <v>1290833</v>
      </c>
      <c r="H27" s="2">
        <v>56230</v>
      </c>
      <c r="I27" s="2">
        <f t="shared" si="0"/>
        <v>0.95825733466066543</v>
      </c>
      <c r="J27" s="2">
        <f t="shared" si="1"/>
        <v>4.1742665339334538E-2</v>
      </c>
      <c r="K27">
        <f t="shared" si="2"/>
        <v>271169.13578513928</v>
      </c>
    </row>
    <row r="28" spans="1:11" x14ac:dyDescent="0.3">
      <c r="A28" s="1" t="s">
        <v>27</v>
      </c>
      <c r="B28" t="s">
        <v>60</v>
      </c>
      <c r="C28">
        <v>2016</v>
      </c>
      <c r="D28">
        <v>53.8</v>
      </c>
      <c r="E28">
        <v>532828.92099999997</v>
      </c>
      <c r="F28">
        <v>2445024</v>
      </c>
      <c r="G28" s="2">
        <v>914134</v>
      </c>
      <c r="H28" s="2">
        <v>75416</v>
      </c>
      <c r="I28" s="2">
        <f t="shared" si="0"/>
        <v>0.92378758021322827</v>
      </c>
      <c r="J28" s="2">
        <f t="shared" si="1"/>
        <v>7.6212419786771762E-2</v>
      </c>
      <c r="K28">
        <f t="shared" si="2"/>
        <v>217923.79992998025</v>
      </c>
    </row>
    <row r="29" spans="1:11" x14ac:dyDescent="0.3">
      <c r="A29" s="1" t="s">
        <v>28</v>
      </c>
      <c r="B29" t="s">
        <v>61</v>
      </c>
      <c r="C29">
        <v>2016</v>
      </c>
      <c r="D29">
        <v>32</v>
      </c>
      <c r="E29">
        <v>709959.65899999999</v>
      </c>
      <c r="F29">
        <v>3519599</v>
      </c>
      <c r="G29" s="2">
        <v>1494361</v>
      </c>
      <c r="H29" s="2">
        <v>65925</v>
      </c>
      <c r="I29" s="2">
        <f t="shared" si="0"/>
        <v>0.95774813079140619</v>
      </c>
      <c r="J29" s="2">
        <f t="shared" si="1"/>
        <v>4.2251869208593806E-2</v>
      </c>
      <c r="K29">
        <f t="shared" si="2"/>
        <v>201716.06452894208</v>
      </c>
    </row>
    <row r="30" spans="1:11" x14ac:dyDescent="0.3">
      <c r="A30" s="1" t="s">
        <v>29</v>
      </c>
      <c r="B30" t="s">
        <v>62</v>
      </c>
      <c r="C30">
        <v>2016</v>
      </c>
      <c r="D30">
        <v>55.9</v>
      </c>
      <c r="E30">
        <v>139167.799</v>
      </c>
      <c r="F30">
        <v>1319228</v>
      </c>
      <c r="G30" s="2">
        <v>547594</v>
      </c>
      <c r="H30" s="2">
        <v>20410</v>
      </c>
      <c r="I30" s="2">
        <f t="shared" si="0"/>
        <v>0.9640671544566588</v>
      </c>
      <c r="J30" s="2">
        <f t="shared" si="1"/>
        <v>3.5932845543341245E-2</v>
      </c>
      <c r="K30">
        <f t="shared" si="2"/>
        <v>105491.84750475278</v>
      </c>
    </row>
    <row r="31" spans="1:11" x14ac:dyDescent="0.3">
      <c r="A31" s="1" t="s">
        <v>30</v>
      </c>
      <c r="B31" t="s">
        <v>63</v>
      </c>
      <c r="C31">
        <v>2016</v>
      </c>
      <c r="D31">
        <v>60.5</v>
      </c>
      <c r="E31">
        <v>1059514.085</v>
      </c>
      <c r="F31">
        <v>8234539</v>
      </c>
      <c r="G31" s="2">
        <v>2942237</v>
      </c>
      <c r="H31" s="2">
        <v>105419</v>
      </c>
      <c r="I31" s="2">
        <f t="shared" si="0"/>
        <v>0.96540981003105342</v>
      </c>
      <c r="J31" s="2">
        <f t="shared" si="1"/>
        <v>3.4590189968946625E-2</v>
      </c>
      <c r="K31">
        <f t="shared" si="2"/>
        <v>128667.07960214895</v>
      </c>
    </row>
    <row r="32" spans="1:11" x14ac:dyDescent="0.3">
      <c r="A32" s="1" t="s">
        <v>31</v>
      </c>
      <c r="B32" t="s">
        <v>64</v>
      </c>
      <c r="C32">
        <v>2016</v>
      </c>
      <c r="D32">
        <v>45.5</v>
      </c>
      <c r="E32">
        <v>336107.728</v>
      </c>
      <c r="F32">
        <v>2195871</v>
      </c>
      <c r="G32" s="2">
        <v>1043466</v>
      </c>
      <c r="H32" s="2">
        <v>19278</v>
      </c>
      <c r="I32" s="2">
        <f t="shared" si="0"/>
        <v>0.98186016575958091</v>
      </c>
      <c r="J32" s="2">
        <f t="shared" si="1"/>
        <v>1.813983424041914E-2</v>
      </c>
      <c r="K32">
        <f t="shared" si="2"/>
        <v>153063.51238301338</v>
      </c>
    </row>
    <row r="33" spans="1:11" x14ac:dyDescent="0.3">
      <c r="A33" s="1" t="s">
        <v>32</v>
      </c>
      <c r="B33" t="s">
        <v>65</v>
      </c>
      <c r="C33">
        <v>2016</v>
      </c>
      <c r="D33">
        <v>50.2</v>
      </c>
      <c r="E33">
        <v>216654.62700000001</v>
      </c>
      <c r="F33">
        <v>1620606</v>
      </c>
      <c r="G33" s="2">
        <v>632020</v>
      </c>
      <c r="H33" s="2">
        <v>13320</v>
      </c>
      <c r="I33" s="2">
        <f t="shared" si="0"/>
        <v>0.97935971735829175</v>
      </c>
      <c r="J33" s="2">
        <f t="shared" si="1"/>
        <v>2.0640282641708248E-2</v>
      </c>
      <c r="K33">
        <f t="shared" si="2"/>
        <v>133687.41507806338</v>
      </c>
    </row>
    <row r="34" spans="1:11" x14ac:dyDescent="0.3">
      <c r="A34" s="1" t="s">
        <v>1</v>
      </c>
      <c r="B34" t="s">
        <v>34</v>
      </c>
      <c r="C34">
        <v>2018</v>
      </c>
      <c r="D34">
        <v>26.3</v>
      </c>
      <c r="E34">
        <v>327926.30699999997</v>
      </c>
      <c r="F34">
        <v>1413003</v>
      </c>
      <c r="G34" s="2">
        <v>580103</v>
      </c>
      <c r="H34" s="2">
        <v>18970</v>
      </c>
      <c r="I34" s="2">
        <f t="shared" si="0"/>
        <v>0.96833440999677833</v>
      </c>
      <c r="J34" s="2">
        <f t="shared" si="1"/>
        <v>3.1665590003221646E-2</v>
      </c>
      <c r="K34">
        <f t="shared" si="2"/>
        <v>232077.57308370896</v>
      </c>
    </row>
    <row r="35" spans="1:11" x14ac:dyDescent="0.3">
      <c r="A35" s="1" t="s">
        <v>2</v>
      </c>
      <c r="B35" t="s">
        <v>35</v>
      </c>
      <c r="C35">
        <v>2018</v>
      </c>
      <c r="D35">
        <v>23.6</v>
      </c>
      <c r="E35">
        <v>878816.86800000002</v>
      </c>
      <c r="F35">
        <v>3674434</v>
      </c>
      <c r="G35" s="2">
        <v>1746141</v>
      </c>
      <c r="H35" s="2">
        <v>39895</v>
      </c>
      <c r="I35" s="2">
        <f t="shared" si="0"/>
        <v>0.97766282426558027</v>
      </c>
      <c r="J35" s="2">
        <f t="shared" si="1"/>
        <v>2.2337175734419686E-2</v>
      </c>
      <c r="K35">
        <f t="shared" si="2"/>
        <v>239170.6771709602</v>
      </c>
    </row>
    <row r="36" spans="1:11" x14ac:dyDescent="0.3">
      <c r="A36" s="1" t="s">
        <v>3</v>
      </c>
      <c r="B36" t="s">
        <v>36</v>
      </c>
      <c r="C36">
        <v>2018</v>
      </c>
      <c r="D36">
        <v>18.600000000000001</v>
      </c>
      <c r="E36">
        <v>184618.103</v>
      </c>
      <c r="F36">
        <v>780416</v>
      </c>
      <c r="G36" s="2">
        <v>373885</v>
      </c>
      <c r="H36" s="2">
        <v>15055</v>
      </c>
      <c r="I36" s="2">
        <f t="shared" si="0"/>
        <v>0.96129223016403553</v>
      </c>
      <c r="J36" s="2">
        <f t="shared" si="1"/>
        <v>3.8707769835964419E-2</v>
      </c>
      <c r="K36">
        <f t="shared" si="2"/>
        <v>236563.70832991635</v>
      </c>
    </row>
    <row r="37" spans="1:11" x14ac:dyDescent="0.3">
      <c r="A37" s="1" t="s">
        <v>4</v>
      </c>
      <c r="B37" t="s">
        <v>37</v>
      </c>
      <c r="C37">
        <v>2018</v>
      </c>
      <c r="D37">
        <v>49</v>
      </c>
      <c r="E37">
        <v>564591.05599999998</v>
      </c>
      <c r="F37">
        <v>932320</v>
      </c>
      <c r="G37" s="2">
        <v>387780</v>
      </c>
      <c r="H37" s="2">
        <v>13954</v>
      </c>
      <c r="I37" s="2">
        <f t="shared" si="0"/>
        <v>0.96526557373784638</v>
      </c>
      <c r="J37" s="2">
        <f t="shared" si="1"/>
        <v>3.4734426262153562E-2</v>
      </c>
      <c r="K37">
        <f t="shared" si="2"/>
        <v>605576.47159773472</v>
      </c>
    </row>
    <row r="38" spans="1:11" x14ac:dyDescent="0.3">
      <c r="A38" s="1" t="s">
        <v>5</v>
      </c>
      <c r="B38" t="s">
        <v>38</v>
      </c>
      <c r="C38">
        <v>2018</v>
      </c>
      <c r="D38">
        <v>25.5</v>
      </c>
      <c r="E38">
        <v>966054.66200000001</v>
      </c>
      <c r="F38">
        <v>5582946</v>
      </c>
      <c r="G38" s="2">
        <v>1333254</v>
      </c>
      <c r="H38" s="2">
        <v>50257</v>
      </c>
      <c r="I38" s="2">
        <f t="shared" si="0"/>
        <v>0.96367430399902854</v>
      </c>
      <c r="J38" s="2">
        <f t="shared" si="1"/>
        <v>3.6325696000971443E-2</v>
      </c>
      <c r="K38">
        <f t="shared" si="2"/>
        <v>173036.71968168777</v>
      </c>
    </row>
    <row r="39" spans="1:11" x14ac:dyDescent="0.3">
      <c r="A39" s="1" t="s">
        <v>6</v>
      </c>
      <c r="B39" t="s">
        <v>39</v>
      </c>
      <c r="C39">
        <v>2018</v>
      </c>
      <c r="D39">
        <v>30.4</v>
      </c>
      <c r="E39">
        <v>153808.394</v>
      </c>
      <c r="F39">
        <v>3735414</v>
      </c>
      <c r="G39" s="2">
        <v>361764</v>
      </c>
      <c r="H39" s="2">
        <v>13967</v>
      </c>
      <c r="I39" s="2">
        <f t="shared" si="0"/>
        <v>0.9628271289832353</v>
      </c>
      <c r="J39" s="2">
        <f t="shared" si="1"/>
        <v>3.7172871016764655E-2</v>
      </c>
      <c r="K39">
        <f t="shared" si="2"/>
        <v>41175.728848261533</v>
      </c>
    </row>
    <row r="40" spans="1:11" x14ac:dyDescent="0.3">
      <c r="A40" s="1" t="s">
        <v>7</v>
      </c>
      <c r="B40" t="s">
        <v>40</v>
      </c>
      <c r="C40">
        <v>2018</v>
      </c>
      <c r="D40">
        <v>78</v>
      </c>
      <c r="E40">
        <v>353600.11300000001</v>
      </c>
      <c r="F40">
        <v>9296268</v>
      </c>
      <c r="G40" s="2">
        <v>1852322</v>
      </c>
      <c r="H40" s="2">
        <v>66271</v>
      </c>
      <c r="I40" s="2">
        <f t="shared" si="0"/>
        <v>0.96545854175429602</v>
      </c>
      <c r="J40" s="2">
        <f t="shared" si="1"/>
        <v>3.4541458245704017E-2</v>
      </c>
      <c r="K40">
        <f t="shared" si="2"/>
        <v>38036.7813191272</v>
      </c>
    </row>
    <row r="41" spans="1:11" x14ac:dyDescent="0.3">
      <c r="A41" s="1" t="s">
        <v>8</v>
      </c>
      <c r="B41" t="s">
        <v>41</v>
      </c>
      <c r="C41">
        <v>2018</v>
      </c>
      <c r="D41">
        <v>26.6</v>
      </c>
      <c r="E41">
        <v>853322.804</v>
      </c>
      <c r="F41">
        <v>3126107</v>
      </c>
      <c r="G41" s="2">
        <v>1673230</v>
      </c>
      <c r="H41" s="2">
        <v>38038</v>
      </c>
      <c r="I41" s="2">
        <f t="shared" si="0"/>
        <v>0.97777203804430401</v>
      </c>
      <c r="J41" s="2">
        <f t="shared" si="1"/>
        <v>2.2227961955696009E-2</v>
      </c>
      <c r="K41">
        <f t="shared" si="2"/>
        <v>272966.60159105237</v>
      </c>
    </row>
    <row r="42" spans="1:11" x14ac:dyDescent="0.3">
      <c r="A42" s="1" t="s">
        <v>9</v>
      </c>
      <c r="B42" t="s">
        <v>42</v>
      </c>
      <c r="C42">
        <v>2018</v>
      </c>
      <c r="D42">
        <v>30</v>
      </c>
      <c r="E42">
        <v>3694574.8739999998</v>
      </c>
      <c r="F42">
        <v>736743</v>
      </c>
      <c r="G42" s="2">
        <v>4411790</v>
      </c>
      <c r="H42" s="2">
        <v>238325</v>
      </c>
      <c r="I42" s="2">
        <f t="shared" si="0"/>
        <v>0.94874857933620993</v>
      </c>
      <c r="J42" s="2">
        <f t="shared" si="1"/>
        <v>5.1251420663790036E-2</v>
      </c>
      <c r="K42">
        <f t="shared" si="2"/>
        <v>5014740.3830100866</v>
      </c>
    </row>
    <row r="43" spans="1:11" x14ac:dyDescent="0.3">
      <c r="A43" s="1" t="s">
        <v>10</v>
      </c>
      <c r="B43" t="s">
        <v>43</v>
      </c>
      <c r="C43">
        <v>2018</v>
      </c>
      <c r="D43">
        <v>38.799999999999997</v>
      </c>
      <c r="E43">
        <v>308981.25400000002</v>
      </c>
      <c r="F43">
        <v>1833514</v>
      </c>
      <c r="G43" s="2">
        <v>762005</v>
      </c>
      <c r="H43" s="2">
        <v>32646</v>
      </c>
      <c r="I43" s="2">
        <f t="shared" si="0"/>
        <v>0.95891781423543165</v>
      </c>
      <c r="J43" s="2">
        <f t="shared" si="1"/>
        <v>4.1082185764568346E-2</v>
      </c>
      <c r="K43">
        <f t="shared" si="2"/>
        <v>168518.6227102711</v>
      </c>
    </row>
    <row r="44" spans="1:11" x14ac:dyDescent="0.3">
      <c r="A44" s="1" t="s">
        <v>11</v>
      </c>
      <c r="B44" t="s">
        <v>44</v>
      </c>
      <c r="C44">
        <v>2018</v>
      </c>
      <c r="D44">
        <v>41.5</v>
      </c>
      <c r="E44">
        <v>1120602.844</v>
      </c>
      <c r="F44">
        <v>6156841</v>
      </c>
      <c r="G44" s="2">
        <v>2610993</v>
      </c>
      <c r="H44" s="2">
        <v>103450</v>
      </c>
      <c r="I44" s="2">
        <f t="shared" si="0"/>
        <v>0.9618890505344927</v>
      </c>
      <c r="J44" s="2">
        <f t="shared" si="1"/>
        <v>3.8110949465507291E-2</v>
      </c>
      <c r="K44">
        <f t="shared" si="2"/>
        <v>182009.38500766869</v>
      </c>
    </row>
    <row r="45" spans="1:11" x14ac:dyDescent="0.3">
      <c r="A45" s="1" t="s">
        <v>12</v>
      </c>
      <c r="B45" t="s">
        <v>45</v>
      </c>
      <c r="C45">
        <v>2018</v>
      </c>
      <c r="D45">
        <v>67.900000000000006</v>
      </c>
      <c r="E45">
        <v>317844.94199999998</v>
      </c>
      <c r="F45">
        <v>3611193</v>
      </c>
      <c r="G45" s="2">
        <v>1489645</v>
      </c>
      <c r="H45" s="2">
        <v>18562</v>
      </c>
      <c r="I45" s="2">
        <f t="shared" si="0"/>
        <v>0.98769267083364554</v>
      </c>
      <c r="J45" s="2">
        <f t="shared" si="1"/>
        <v>1.2307329166354486E-2</v>
      </c>
      <c r="K45">
        <f t="shared" si="2"/>
        <v>88016.603377332649</v>
      </c>
    </row>
    <row r="46" spans="1:11" x14ac:dyDescent="0.3">
      <c r="A46" s="1" t="s">
        <v>13</v>
      </c>
      <c r="B46" t="s">
        <v>46</v>
      </c>
      <c r="C46">
        <v>2018</v>
      </c>
      <c r="D46">
        <v>49.9</v>
      </c>
      <c r="E46">
        <v>418630.44400000002</v>
      </c>
      <c r="F46">
        <v>3053548</v>
      </c>
      <c r="G46" s="2">
        <v>1300654</v>
      </c>
      <c r="H46" s="2">
        <v>27587</v>
      </c>
      <c r="I46" s="2">
        <f t="shared" si="0"/>
        <v>0.97923042580375097</v>
      </c>
      <c r="J46" s="2">
        <f t="shared" si="1"/>
        <v>2.0769574196249023E-2</v>
      </c>
      <c r="K46">
        <f t="shared" si="2"/>
        <v>137096.40195601969</v>
      </c>
    </row>
    <row r="47" spans="1:11" x14ac:dyDescent="0.3">
      <c r="A47" s="1" t="s">
        <v>14</v>
      </c>
      <c r="B47" t="s">
        <v>47</v>
      </c>
      <c r="C47">
        <v>2018</v>
      </c>
      <c r="D47">
        <v>27.8</v>
      </c>
      <c r="E47">
        <v>1754179.51</v>
      </c>
      <c r="F47">
        <v>8325605</v>
      </c>
      <c r="G47" s="2">
        <v>3687372</v>
      </c>
      <c r="H47" s="2">
        <v>95472</v>
      </c>
      <c r="I47" s="2">
        <f t="shared" si="0"/>
        <v>0.97476184584931336</v>
      </c>
      <c r="J47" s="2">
        <f t="shared" si="1"/>
        <v>2.5238154150686625E-2</v>
      </c>
      <c r="K47">
        <f t="shared" si="2"/>
        <v>210696.94154358751</v>
      </c>
    </row>
    <row r="48" spans="1:11" x14ac:dyDescent="0.3">
      <c r="A48" s="1" t="s">
        <v>15</v>
      </c>
      <c r="B48" t="s">
        <v>48</v>
      </c>
      <c r="C48">
        <v>2018</v>
      </c>
      <c r="D48">
        <v>41.8</v>
      </c>
      <c r="E48">
        <v>2243797.9700000002</v>
      </c>
      <c r="F48">
        <v>17005733</v>
      </c>
      <c r="G48" s="2">
        <v>7234765</v>
      </c>
      <c r="H48" s="2">
        <v>287711</v>
      </c>
      <c r="I48" s="2">
        <f t="shared" si="0"/>
        <v>0.96175315148895124</v>
      </c>
      <c r="J48" s="2">
        <f t="shared" si="1"/>
        <v>3.8246848511048759E-2</v>
      </c>
      <c r="K48">
        <f t="shared" si="2"/>
        <v>131943.61983691031</v>
      </c>
    </row>
    <row r="49" spans="1:11" x14ac:dyDescent="0.3">
      <c r="A49" s="1" t="s">
        <v>16</v>
      </c>
      <c r="B49" t="s">
        <v>49</v>
      </c>
      <c r="C49">
        <v>2018</v>
      </c>
      <c r="D49">
        <v>46.2</v>
      </c>
      <c r="E49">
        <v>633756.55900000001</v>
      </c>
      <c r="F49">
        <v>4769382</v>
      </c>
      <c r="G49" s="2">
        <v>1957250</v>
      </c>
      <c r="H49" s="2">
        <v>50029</v>
      </c>
      <c r="I49" s="2">
        <f t="shared" si="0"/>
        <v>0.9750762101332201</v>
      </c>
      <c r="J49" s="2">
        <f t="shared" si="1"/>
        <v>2.4923789866779855E-2</v>
      </c>
      <c r="K49">
        <f t="shared" si="2"/>
        <v>132880.22620121433</v>
      </c>
    </row>
    <row r="50" spans="1:11" x14ac:dyDescent="0.3">
      <c r="A50" s="1" t="s">
        <v>17</v>
      </c>
      <c r="B50" t="s">
        <v>50</v>
      </c>
      <c r="C50">
        <v>2018</v>
      </c>
      <c r="D50">
        <v>48.5</v>
      </c>
      <c r="E50">
        <v>273244.59700000001</v>
      </c>
      <c r="F50">
        <v>1980405</v>
      </c>
      <c r="G50" s="2">
        <v>807852</v>
      </c>
      <c r="H50" s="2">
        <v>17174</v>
      </c>
      <c r="I50" s="2">
        <f t="shared" si="0"/>
        <v>0.97918368633230957</v>
      </c>
      <c r="J50" s="2">
        <f t="shared" si="1"/>
        <v>2.0816313667690472E-2</v>
      </c>
      <c r="K50">
        <f t="shared" si="2"/>
        <v>137974.09974222444</v>
      </c>
    </row>
    <row r="51" spans="1:11" x14ac:dyDescent="0.3">
      <c r="A51" s="1" t="s">
        <v>18</v>
      </c>
      <c r="B51" t="s">
        <v>51</v>
      </c>
      <c r="C51">
        <v>2018</v>
      </c>
      <c r="D51">
        <v>35.700000000000003</v>
      </c>
      <c r="E51">
        <v>155757.538</v>
      </c>
      <c r="F51">
        <v>1230058</v>
      </c>
      <c r="G51" s="2">
        <v>564467</v>
      </c>
      <c r="H51" s="2">
        <v>21079</v>
      </c>
      <c r="I51" s="2">
        <f t="shared" si="0"/>
        <v>0.96400112032188756</v>
      </c>
      <c r="J51" s="2">
        <f t="shared" si="1"/>
        <v>3.5998879678112397E-2</v>
      </c>
      <c r="K51">
        <f t="shared" si="2"/>
        <v>126626.17372514142</v>
      </c>
    </row>
    <row r="52" spans="1:11" x14ac:dyDescent="0.3">
      <c r="A52" s="1" t="s">
        <v>19</v>
      </c>
      <c r="B52" t="s">
        <v>52</v>
      </c>
      <c r="C52">
        <v>2018</v>
      </c>
      <c r="D52">
        <v>19.399999999999999</v>
      </c>
      <c r="E52">
        <v>1909026.4350000001</v>
      </c>
      <c r="F52">
        <v>5657159</v>
      </c>
      <c r="G52" s="2">
        <v>2496057</v>
      </c>
      <c r="H52" s="2">
        <v>91930</v>
      </c>
      <c r="I52" s="2">
        <f t="shared" si="0"/>
        <v>0.96447818323662371</v>
      </c>
      <c r="J52" s="2">
        <f t="shared" si="1"/>
        <v>3.5521816763376325E-2</v>
      </c>
      <c r="K52">
        <f t="shared" si="2"/>
        <v>337453.20486838004</v>
      </c>
    </row>
    <row r="53" spans="1:11" x14ac:dyDescent="0.3">
      <c r="A53" s="1" t="s">
        <v>20</v>
      </c>
      <c r="B53" t="s">
        <v>53</v>
      </c>
      <c r="C53">
        <v>2018</v>
      </c>
      <c r="D53">
        <v>64.3</v>
      </c>
      <c r="E53">
        <v>383159.64600000001</v>
      </c>
      <c r="F53">
        <v>4151349</v>
      </c>
      <c r="G53" s="2">
        <v>1697681</v>
      </c>
      <c r="H53" s="2">
        <v>34308</v>
      </c>
      <c r="I53" s="2">
        <f t="shared" si="0"/>
        <v>0.98019156010806074</v>
      </c>
      <c r="J53" s="2">
        <f t="shared" si="1"/>
        <v>1.9808439891939266E-2</v>
      </c>
      <c r="K53">
        <f t="shared" si="2"/>
        <v>92297.623254513164</v>
      </c>
    </row>
    <row r="54" spans="1:11" x14ac:dyDescent="0.3">
      <c r="A54" s="1" t="s">
        <v>21</v>
      </c>
      <c r="B54" t="s">
        <v>54</v>
      </c>
      <c r="C54">
        <v>2018</v>
      </c>
      <c r="D54">
        <v>58</v>
      </c>
      <c r="E54">
        <v>849556.00300000003</v>
      </c>
      <c r="F54">
        <v>6558654</v>
      </c>
      <c r="G54" s="2">
        <v>2817960</v>
      </c>
      <c r="H54" s="2">
        <v>71841</v>
      </c>
      <c r="I54" s="2">
        <f t="shared" si="0"/>
        <v>0.97513981066516342</v>
      </c>
      <c r="J54" s="2">
        <f t="shared" si="1"/>
        <v>2.4860189334836552E-2</v>
      </c>
      <c r="K54">
        <f t="shared" si="2"/>
        <v>129532.06603062153</v>
      </c>
    </row>
    <row r="55" spans="1:11" x14ac:dyDescent="0.3">
      <c r="A55" s="1" t="s">
        <v>22</v>
      </c>
      <c r="B55" t="s">
        <v>55</v>
      </c>
      <c r="C55">
        <v>2018</v>
      </c>
      <c r="D55">
        <v>26.4</v>
      </c>
      <c r="E55">
        <v>611367.75</v>
      </c>
      <c r="F55">
        <v>2298993</v>
      </c>
      <c r="G55" s="2">
        <v>912952</v>
      </c>
      <c r="H55" s="2">
        <v>35171</v>
      </c>
      <c r="I55" s="2">
        <f t="shared" si="0"/>
        <v>0.9629046020400307</v>
      </c>
      <c r="J55" s="2">
        <f t="shared" si="1"/>
        <v>3.7095397959969328E-2</v>
      </c>
      <c r="K55">
        <f t="shared" si="2"/>
        <v>265928.49565005198</v>
      </c>
    </row>
    <row r="56" spans="1:11" x14ac:dyDescent="0.3">
      <c r="A56" s="1" t="s">
        <v>23</v>
      </c>
      <c r="B56" t="s">
        <v>56</v>
      </c>
      <c r="C56">
        <v>2018</v>
      </c>
      <c r="D56">
        <v>30.2</v>
      </c>
      <c r="E56">
        <v>377340.66700000002</v>
      </c>
      <c r="F56">
        <v>1767057</v>
      </c>
      <c r="G56" s="2">
        <v>894532</v>
      </c>
      <c r="H56" s="2">
        <v>28511</v>
      </c>
      <c r="I56" s="2">
        <f t="shared" si="0"/>
        <v>0.96911194819742963</v>
      </c>
      <c r="J56" s="2">
        <f t="shared" si="1"/>
        <v>3.0888051802570413E-2</v>
      </c>
      <c r="K56">
        <f t="shared" si="2"/>
        <v>213541.87612510519</v>
      </c>
    </row>
    <row r="57" spans="1:11" x14ac:dyDescent="0.3">
      <c r="A57" s="1" t="s">
        <v>24</v>
      </c>
      <c r="B57" t="s">
        <v>57</v>
      </c>
      <c r="C57">
        <v>2018</v>
      </c>
      <c r="D57">
        <v>42.1</v>
      </c>
      <c r="E57">
        <v>557795.95200000005</v>
      </c>
      <c r="F57">
        <v>2837201</v>
      </c>
      <c r="G57" s="2">
        <v>1191334</v>
      </c>
      <c r="H57" s="2">
        <v>26096</v>
      </c>
      <c r="I57" s="2">
        <f t="shared" si="0"/>
        <v>0.97856468133691465</v>
      </c>
      <c r="J57" s="2">
        <f t="shared" si="1"/>
        <v>2.1435318663085352E-2</v>
      </c>
      <c r="K57">
        <f t="shared" si="2"/>
        <v>196600.7878891908</v>
      </c>
    </row>
    <row r="58" spans="1:11" x14ac:dyDescent="0.3">
      <c r="A58" s="1" t="s">
        <v>25</v>
      </c>
      <c r="B58" t="s">
        <v>58</v>
      </c>
      <c r="C58">
        <v>2018</v>
      </c>
      <c r="D58">
        <v>31</v>
      </c>
      <c r="E58">
        <v>527714.06099999999</v>
      </c>
      <c r="F58">
        <v>3055044</v>
      </c>
      <c r="G58" s="2">
        <v>1323954</v>
      </c>
      <c r="H58" s="2">
        <v>43172</v>
      </c>
      <c r="I58" s="2">
        <f t="shared" si="0"/>
        <v>0.96842134521616885</v>
      </c>
      <c r="J58" s="2">
        <f t="shared" si="1"/>
        <v>3.1578654783831192E-2</v>
      </c>
      <c r="K58">
        <f t="shared" si="2"/>
        <v>172735.33900002748</v>
      </c>
    </row>
    <row r="59" spans="1:11" x14ac:dyDescent="0.3">
      <c r="A59" s="1" t="s">
        <v>26</v>
      </c>
      <c r="B59" t="s">
        <v>59</v>
      </c>
      <c r="C59">
        <v>2018</v>
      </c>
      <c r="D59">
        <v>26.7</v>
      </c>
      <c r="E59">
        <v>782097.73899999994</v>
      </c>
      <c r="F59">
        <v>2960783</v>
      </c>
      <c r="G59" s="2">
        <v>1340033</v>
      </c>
      <c r="H59" s="2">
        <v>50969</v>
      </c>
      <c r="I59" s="2">
        <f t="shared" si="0"/>
        <v>0.96335806850026096</v>
      </c>
      <c r="J59" s="2">
        <f t="shared" si="1"/>
        <v>3.6641931499739037E-2</v>
      </c>
      <c r="K59">
        <f t="shared" si="2"/>
        <v>264152.33369010832</v>
      </c>
    </row>
    <row r="60" spans="1:11" x14ac:dyDescent="0.3">
      <c r="A60" s="1" t="s">
        <v>27</v>
      </c>
      <c r="B60" t="s">
        <v>60</v>
      </c>
      <c r="C60">
        <v>2018</v>
      </c>
      <c r="D60">
        <v>56.4</v>
      </c>
      <c r="E60">
        <v>471565.25</v>
      </c>
      <c r="F60">
        <v>2444325</v>
      </c>
      <c r="G60" s="2">
        <v>898137</v>
      </c>
      <c r="H60" s="2">
        <v>76333</v>
      </c>
      <c r="I60" s="2">
        <f t="shared" si="0"/>
        <v>0.92166716266278081</v>
      </c>
      <c r="J60" s="2">
        <f t="shared" si="1"/>
        <v>7.8332837337219213E-2</v>
      </c>
      <c r="K60">
        <f t="shared" si="2"/>
        <v>192922.48371227231</v>
      </c>
    </row>
    <row r="61" spans="1:11" x14ac:dyDescent="0.3">
      <c r="A61" s="1" t="s">
        <v>28</v>
      </c>
      <c r="B61" t="s">
        <v>61</v>
      </c>
      <c r="C61">
        <v>2018</v>
      </c>
      <c r="D61">
        <v>34.5</v>
      </c>
      <c r="E61">
        <v>732093.58400000003</v>
      </c>
      <c r="F61">
        <v>3556359</v>
      </c>
      <c r="G61" s="2">
        <v>1555400</v>
      </c>
      <c r="H61" s="2">
        <v>63209</v>
      </c>
      <c r="I61" s="2">
        <f t="shared" si="0"/>
        <v>0.96094856756634861</v>
      </c>
      <c r="J61" s="2">
        <f t="shared" si="1"/>
        <v>3.9051432433651362E-2</v>
      </c>
      <c r="K61">
        <f t="shared" si="2"/>
        <v>205854.80374731572</v>
      </c>
    </row>
    <row r="62" spans="1:11" x14ac:dyDescent="0.3">
      <c r="A62" s="1" t="s">
        <v>29</v>
      </c>
      <c r="B62" t="s">
        <v>62</v>
      </c>
      <c r="C62">
        <v>2018</v>
      </c>
      <c r="D62">
        <v>51</v>
      </c>
      <c r="E62">
        <v>147752.93900000001</v>
      </c>
      <c r="F62">
        <v>1345021</v>
      </c>
      <c r="G62" s="2">
        <v>565928</v>
      </c>
      <c r="H62" s="2">
        <v>23722</v>
      </c>
      <c r="I62" s="2">
        <f t="shared" si="0"/>
        <v>0.9597693547019418</v>
      </c>
      <c r="J62" s="2">
        <f t="shared" si="1"/>
        <v>4.0230645298058171E-2</v>
      </c>
      <c r="K62">
        <f t="shared" si="2"/>
        <v>109851.77108758896</v>
      </c>
    </row>
    <row r="63" spans="1:11" x14ac:dyDescent="0.3">
      <c r="A63" s="1" t="s">
        <v>30</v>
      </c>
      <c r="B63" t="s">
        <v>63</v>
      </c>
      <c r="C63">
        <v>2018</v>
      </c>
      <c r="D63">
        <v>60.2</v>
      </c>
      <c r="E63">
        <v>1029905.4</v>
      </c>
      <c r="F63">
        <v>8203798</v>
      </c>
      <c r="G63" s="2">
        <v>3119083</v>
      </c>
      <c r="H63" s="2">
        <v>86199</v>
      </c>
      <c r="I63" s="2">
        <f t="shared" si="0"/>
        <v>0.97310720242399884</v>
      </c>
      <c r="J63" s="2">
        <f t="shared" si="1"/>
        <v>2.6892797576001114E-2</v>
      </c>
      <c r="K63">
        <f t="shared" si="2"/>
        <v>125540.07302471368</v>
      </c>
    </row>
    <row r="64" spans="1:11" x14ac:dyDescent="0.3">
      <c r="A64" s="1" t="s">
        <v>31</v>
      </c>
      <c r="B64" t="s">
        <v>64</v>
      </c>
      <c r="C64">
        <v>2018</v>
      </c>
      <c r="D64">
        <v>44</v>
      </c>
      <c r="E64">
        <v>364797.90100000001</v>
      </c>
      <c r="F64">
        <v>2282762</v>
      </c>
      <c r="G64" s="2">
        <v>1108945</v>
      </c>
      <c r="H64" s="2">
        <v>16921</v>
      </c>
      <c r="I64" s="2">
        <f t="shared" si="0"/>
        <v>0.98497068034739477</v>
      </c>
      <c r="J64" s="2">
        <f t="shared" si="1"/>
        <v>1.5029319652605195E-2</v>
      </c>
      <c r="K64">
        <f t="shared" si="2"/>
        <v>159805.49045410778</v>
      </c>
    </row>
    <row r="65" spans="1:11" x14ac:dyDescent="0.3">
      <c r="A65" s="1" t="s">
        <v>32</v>
      </c>
      <c r="B65" t="s">
        <v>65</v>
      </c>
      <c r="C65">
        <v>2018</v>
      </c>
      <c r="D65">
        <v>49.2</v>
      </c>
      <c r="E65">
        <v>228388.21299999999</v>
      </c>
      <c r="F65">
        <v>1633390</v>
      </c>
      <c r="G65" s="2">
        <v>648604</v>
      </c>
      <c r="H65" s="2">
        <v>16698</v>
      </c>
      <c r="I65" s="2">
        <f t="shared" si="0"/>
        <v>0.97490162362355737</v>
      </c>
      <c r="J65" s="2">
        <f t="shared" si="1"/>
        <v>2.5098376376442577E-2</v>
      </c>
      <c r="K65">
        <f t="shared" si="2"/>
        <v>139824.66710338622</v>
      </c>
    </row>
    <row r="66" spans="1:11" x14ac:dyDescent="0.3">
      <c r="A66" s="1" t="s">
        <v>1</v>
      </c>
      <c r="B66" t="s">
        <v>34</v>
      </c>
      <c r="C66">
        <v>2020</v>
      </c>
      <c r="D66">
        <v>27.6</v>
      </c>
      <c r="E66">
        <v>303555.88799999998</v>
      </c>
      <c r="F66">
        <v>1456050</v>
      </c>
      <c r="G66" s="2">
        <v>585792</v>
      </c>
      <c r="H66" s="2">
        <v>32116</v>
      </c>
      <c r="I66" s="2">
        <f t="shared" si="0"/>
        <v>0.94802462502508467</v>
      </c>
      <c r="J66" s="2">
        <f t="shared" si="1"/>
        <v>5.1975374974915362E-2</v>
      </c>
      <c r="K66">
        <f t="shared" si="2"/>
        <v>208479.02750592356</v>
      </c>
    </row>
    <row r="67" spans="1:11" x14ac:dyDescent="0.3">
      <c r="A67" s="1" t="s">
        <v>2</v>
      </c>
      <c r="B67" t="s">
        <v>35</v>
      </c>
      <c r="C67">
        <v>2020</v>
      </c>
      <c r="D67">
        <v>22.5</v>
      </c>
      <c r="E67">
        <v>833360.96900000004</v>
      </c>
      <c r="F67">
        <v>3838619</v>
      </c>
      <c r="G67" s="2">
        <v>1676827</v>
      </c>
      <c r="H67" s="2">
        <v>49726</v>
      </c>
      <c r="I67" s="2">
        <f t="shared" ref="I67:I129" si="3">G67/(G67+H67)</f>
        <v>0.97119926234526255</v>
      </c>
      <c r="J67" s="2">
        <f t="shared" ref="J67:J129" si="4">H67/(G67+H67)</f>
        <v>2.8800737654737504E-2</v>
      </c>
      <c r="K67">
        <f t="shared" ref="K67:K129" si="5">(E67*1000000)/F67</f>
        <v>217099.16222474803</v>
      </c>
    </row>
    <row r="68" spans="1:11" x14ac:dyDescent="0.3">
      <c r="A68" s="1" t="s">
        <v>3</v>
      </c>
      <c r="B68" t="s">
        <v>36</v>
      </c>
      <c r="C68">
        <v>2020</v>
      </c>
      <c r="D68">
        <v>27.6</v>
      </c>
      <c r="E68">
        <v>152596.902</v>
      </c>
      <c r="F68">
        <v>815098</v>
      </c>
      <c r="G68" s="2">
        <v>371573</v>
      </c>
      <c r="H68" s="2">
        <v>21314</v>
      </c>
      <c r="I68" s="2">
        <f t="shared" si="3"/>
        <v>0.94575030479501743</v>
      </c>
      <c r="J68" s="2">
        <f t="shared" si="4"/>
        <v>5.4249695204982601E-2</v>
      </c>
      <c r="K68">
        <f t="shared" si="5"/>
        <v>187212.95108072893</v>
      </c>
    </row>
    <row r="69" spans="1:11" x14ac:dyDescent="0.3">
      <c r="A69" s="1" t="s">
        <v>4</v>
      </c>
      <c r="B69" t="s">
        <v>37</v>
      </c>
      <c r="C69">
        <v>2020</v>
      </c>
      <c r="D69">
        <v>50.5</v>
      </c>
      <c r="E69">
        <v>502567.15100000001</v>
      </c>
      <c r="F69">
        <v>939179</v>
      </c>
      <c r="G69" s="2">
        <v>402608</v>
      </c>
      <c r="H69" s="2">
        <v>14126</v>
      </c>
      <c r="I69" s="2">
        <f t="shared" si="3"/>
        <v>0.96610307774263682</v>
      </c>
      <c r="J69" s="2">
        <f t="shared" si="4"/>
        <v>3.389692225736321E-2</v>
      </c>
      <c r="K69">
        <f t="shared" si="5"/>
        <v>535113.27553107555</v>
      </c>
    </row>
    <row r="70" spans="1:11" x14ac:dyDescent="0.3">
      <c r="A70" s="1" t="s">
        <v>5</v>
      </c>
      <c r="B70" t="s">
        <v>38</v>
      </c>
      <c r="C70">
        <v>2020</v>
      </c>
      <c r="D70">
        <v>25.6</v>
      </c>
      <c r="E70">
        <v>862347.23800000001</v>
      </c>
      <c r="F70">
        <v>5715260</v>
      </c>
      <c r="G70" s="2">
        <v>1340576</v>
      </c>
      <c r="H70" s="2">
        <v>87969</v>
      </c>
      <c r="I70" s="2">
        <f t="shared" si="3"/>
        <v>0.93842056078037439</v>
      </c>
      <c r="J70" s="2">
        <f t="shared" si="4"/>
        <v>6.157943921962556E-2</v>
      </c>
      <c r="K70">
        <f t="shared" si="5"/>
        <v>150885.04075055203</v>
      </c>
    </row>
    <row r="71" spans="1:11" x14ac:dyDescent="0.3">
      <c r="A71" s="1" t="s">
        <v>6</v>
      </c>
      <c r="B71" t="s">
        <v>39</v>
      </c>
      <c r="C71">
        <v>2020</v>
      </c>
      <c r="D71">
        <v>26.7</v>
      </c>
      <c r="E71">
        <v>148214.30300000001</v>
      </c>
      <c r="F71">
        <v>3812627</v>
      </c>
      <c r="G71" s="2">
        <v>336666</v>
      </c>
      <c r="H71" s="2">
        <v>13332</v>
      </c>
      <c r="I71" s="2">
        <f t="shared" si="3"/>
        <v>0.96190835376202155</v>
      </c>
      <c r="J71" s="2">
        <f t="shared" si="4"/>
        <v>3.8091646237978505E-2</v>
      </c>
      <c r="K71">
        <f t="shared" si="5"/>
        <v>38874.587784223317</v>
      </c>
    </row>
    <row r="72" spans="1:11" x14ac:dyDescent="0.3">
      <c r="A72" s="1" t="s">
        <v>7</v>
      </c>
      <c r="B72" t="s">
        <v>40</v>
      </c>
      <c r="C72">
        <v>2020</v>
      </c>
      <c r="D72">
        <v>75.5</v>
      </c>
      <c r="E72">
        <v>334056.84600000002</v>
      </c>
      <c r="F72">
        <v>9332593</v>
      </c>
      <c r="G72" s="2">
        <v>2041000</v>
      </c>
      <c r="H72" s="2">
        <v>57192</v>
      </c>
      <c r="I72" s="2">
        <f t="shared" si="3"/>
        <v>0.97274224665807518</v>
      </c>
      <c r="J72" s="2">
        <f t="shared" si="4"/>
        <v>2.7257753341924856E-2</v>
      </c>
      <c r="K72">
        <f t="shared" si="5"/>
        <v>35794.644210885439</v>
      </c>
    </row>
    <row r="73" spans="1:11" x14ac:dyDescent="0.3">
      <c r="A73" s="1" t="s">
        <v>8</v>
      </c>
      <c r="B73" t="s">
        <v>41</v>
      </c>
      <c r="C73">
        <v>2020</v>
      </c>
      <c r="D73">
        <v>25.3</v>
      </c>
      <c r="E73">
        <v>809562.1</v>
      </c>
      <c r="F73">
        <v>3197122</v>
      </c>
      <c r="G73" s="2">
        <v>1646500</v>
      </c>
      <c r="H73" s="2">
        <v>63884</v>
      </c>
      <c r="I73" s="2">
        <f t="shared" si="3"/>
        <v>0.9626493231929204</v>
      </c>
      <c r="J73" s="2">
        <f t="shared" si="4"/>
        <v>3.7350676807079583E-2</v>
      </c>
      <c r="K73">
        <f t="shared" si="5"/>
        <v>253215.89229313112</v>
      </c>
    </row>
    <row r="74" spans="1:11" x14ac:dyDescent="0.3">
      <c r="A74" s="1" t="s">
        <v>9</v>
      </c>
      <c r="B74" t="s">
        <v>42</v>
      </c>
      <c r="C74">
        <v>2020</v>
      </c>
      <c r="D74">
        <v>32.6</v>
      </c>
      <c r="E74">
        <v>3292781.8149999999</v>
      </c>
      <c r="F74">
        <v>745122</v>
      </c>
      <c r="G74" s="2">
        <v>3890453</v>
      </c>
      <c r="H74" s="2">
        <v>276316</v>
      </c>
      <c r="I74" s="2">
        <f t="shared" si="3"/>
        <v>0.93368578867703012</v>
      </c>
      <c r="J74" s="2">
        <f t="shared" si="4"/>
        <v>6.6314211322969913E-2</v>
      </c>
      <c r="K74">
        <f t="shared" si="5"/>
        <v>4419117.694820446</v>
      </c>
    </row>
    <row r="75" spans="1:11" x14ac:dyDescent="0.3">
      <c r="A75" s="1" t="s">
        <v>10</v>
      </c>
      <c r="B75" t="s">
        <v>43</v>
      </c>
      <c r="C75">
        <v>2020</v>
      </c>
      <c r="D75">
        <v>38.700000000000003</v>
      </c>
      <c r="E75">
        <v>283132.52799999999</v>
      </c>
      <c r="F75">
        <v>1858155</v>
      </c>
      <c r="G75" s="2">
        <v>761770</v>
      </c>
      <c r="H75" s="2">
        <v>39055</v>
      </c>
      <c r="I75" s="2">
        <f t="shared" si="3"/>
        <v>0.95123154247182595</v>
      </c>
      <c r="J75" s="2">
        <f t="shared" si="4"/>
        <v>4.8768457528174068E-2</v>
      </c>
      <c r="K75">
        <f t="shared" si="5"/>
        <v>152372.93336669976</v>
      </c>
    </row>
    <row r="76" spans="1:11" x14ac:dyDescent="0.3">
      <c r="A76" s="1" t="s">
        <v>11</v>
      </c>
      <c r="B76" t="s">
        <v>44</v>
      </c>
      <c r="C76">
        <v>2020</v>
      </c>
      <c r="D76">
        <v>42.7</v>
      </c>
      <c r="E76">
        <v>1023964.8909999999</v>
      </c>
      <c r="F76">
        <v>6265796</v>
      </c>
      <c r="G76" s="2">
        <v>2590247</v>
      </c>
      <c r="H76" s="2">
        <v>146021</v>
      </c>
      <c r="I76" s="2">
        <f t="shared" si="3"/>
        <v>0.94663497873746283</v>
      </c>
      <c r="J76" s="2">
        <f t="shared" si="4"/>
        <v>5.336502126253715E-2</v>
      </c>
      <c r="K76">
        <f t="shared" si="5"/>
        <v>163421.35795675442</v>
      </c>
    </row>
    <row r="77" spans="1:11" x14ac:dyDescent="0.3">
      <c r="A77" s="1" t="s">
        <v>12</v>
      </c>
      <c r="B77" t="s">
        <v>45</v>
      </c>
      <c r="C77">
        <v>2020</v>
      </c>
      <c r="D77">
        <v>66.400000000000006</v>
      </c>
      <c r="E77">
        <v>288103.57500000001</v>
      </c>
      <c r="F77">
        <v>3599955</v>
      </c>
      <c r="G77" s="2">
        <v>1485418</v>
      </c>
      <c r="H77" s="2">
        <v>36601</v>
      </c>
      <c r="I77" s="2">
        <f t="shared" si="3"/>
        <v>0.97595233699447903</v>
      </c>
      <c r="J77" s="2">
        <f t="shared" si="4"/>
        <v>2.4047663005520956E-2</v>
      </c>
      <c r="K77">
        <f t="shared" si="5"/>
        <v>80029.7712054734</v>
      </c>
    </row>
    <row r="78" spans="1:11" x14ac:dyDescent="0.3">
      <c r="A78" s="1" t="s">
        <v>13</v>
      </c>
      <c r="B78" t="s">
        <v>46</v>
      </c>
      <c r="C78">
        <v>2020</v>
      </c>
      <c r="D78">
        <v>50.8</v>
      </c>
      <c r="E78">
        <v>360340.86300000001</v>
      </c>
      <c r="F78">
        <v>3130166</v>
      </c>
      <c r="G78" s="2">
        <v>1258776</v>
      </c>
      <c r="H78" s="2">
        <v>28219</v>
      </c>
      <c r="I78" s="2">
        <f t="shared" si="3"/>
        <v>0.9780737298901705</v>
      </c>
      <c r="J78" s="2">
        <f t="shared" si="4"/>
        <v>2.1926270109829487E-2</v>
      </c>
      <c r="K78">
        <f t="shared" si="5"/>
        <v>115118.77101725596</v>
      </c>
    </row>
    <row r="79" spans="1:11" x14ac:dyDescent="0.3">
      <c r="A79" s="1" t="s">
        <v>14</v>
      </c>
      <c r="B79" t="s">
        <v>47</v>
      </c>
      <c r="C79">
        <v>2020</v>
      </c>
      <c r="D79">
        <v>31.4</v>
      </c>
      <c r="E79">
        <v>1611603.3259999999</v>
      </c>
      <c r="F79">
        <v>8507662</v>
      </c>
      <c r="G79" s="2">
        <v>3647712</v>
      </c>
      <c r="H79" s="2">
        <v>154211</v>
      </c>
      <c r="I79" s="2">
        <f t="shared" si="3"/>
        <v>0.95943868405541088</v>
      </c>
      <c r="J79" s="2">
        <f t="shared" si="4"/>
        <v>4.0561315944589095E-2</v>
      </c>
      <c r="K79">
        <f t="shared" si="5"/>
        <v>189429.63719057009</v>
      </c>
    </row>
    <row r="80" spans="1:11" x14ac:dyDescent="0.3">
      <c r="A80" s="1" t="s">
        <v>15</v>
      </c>
      <c r="B80" t="s">
        <v>48</v>
      </c>
      <c r="C80">
        <v>2020</v>
      </c>
      <c r="D80">
        <v>48.9</v>
      </c>
      <c r="E80">
        <v>2011109.48</v>
      </c>
      <c r="F80">
        <v>17236788</v>
      </c>
      <c r="G80" s="2">
        <v>6860422</v>
      </c>
      <c r="H80" s="2">
        <v>468568</v>
      </c>
      <c r="I80" s="2">
        <f t="shared" si="3"/>
        <v>0.93606649756651328</v>
      </c>
      <c r="J80" s="2">
        <f t="shared" si="4"/>
        <v>6.3933502433486736E-2</v>
      </c>
      <c r="K80">
        <f t="shared" si="5"/>
        <v>116675.42003765434</v>
      </c>
    </row>
    <row r="81" spans="1:11" x14ac:dyDescent="0.3">
      <c r="A81" s="1" t="s">
        <v>16</v>
      </c>
      <c r="B81" t="s">
        <v>49</v>
      </c>
      <c r="C81">
        <v>2020</v>
      </c>
      <c r="D81">
        <v>44.5</v>
      </c>
      <c r="E81">
        <v>600472.49199999997</v>
      </c>
      <c r="F81">
        <v>4830267</v>
      </c>
      <c r="G81" s="2">
        <v>1927870</v>
      </c>
      <c r="H81" s="2">
        <v>45215</v>
      </c>
      <c r="I81" s="2">
        <f t="shared" si="3"/>
        <v>0.97708410940228119</v>
      </c>
      <c r="J81" s="2">
        <f t="shared" si="4"/>
        <v>2.2915890597718799E-2</v>
      </c>
      <c r="K81">
        <f t="shared" si="5"/>
        <v>124314.55486829196</v>
      </c>
    </row>
    <row r="82" spans="1:11" x14ac:dyDescent="0.3">
      <c r="A82" s="1" t="s">
        <v>17</v>
      </c>
      <c r="B82" t="s">
        <v>50</v>
      </c>
      <c r="C82">
        <v>2020</v>
      </c>
      <c r="D82">
        <v>50.9</v>
      </c>
      <c r="E82">
        <v>241211.91699999999</v>
      </c>
      <c r="F82">
        <v>2002754</v>
      </c>
      <c r="G82" s="2">
        <v>834927</v>
      </c>
      <c r="H82" s="2">
        <v>20739</v>
      </c>
      <c r="I82" s="2">
        <f t="shared" si="3"/>
        <v>0.97576273919964096</v>
      </c>
      <c r="J82" s="2">
        <f t="shared" si="4"/>
        <v>2.4237260800359019E-2</v>
      </c>
      <c r="K82">
        <f t="shared" si="5"/>
        <v>120440.11246513551</v>
      </c>
    </row>
    <row r="83" spans="1:11" x14ac:dyDescent="0.3">
      <c r="A83" s="1" t="s">
        <v>18</v>
      </c>
      <c r="B83" t="s">
        <v>51</v>
      </c>
      <c r="C83">
        <v>2020</v>
      </c>
      <c r="D83">
        <v>30.4</v>
      </c>
      <c r="E83">
        <v>142683.57699999999</v>
      </c>
      <c r="F83">
        <v>1252690</v>
      </c>
      <c r="G83" s="2">
        <v>608056</v>
      </c>
      <c r="H83" s="2">
        <v>25592</v>
      </c>
      <c r="I83" s="2">
        <f t="shared" si="3"/>
        <v>0.95961164558240541</v>
      </c>
      <c r="J83" s="2">
        <f t="shared" si="4"/>
        <v>4.0388354417594627E-2</v>
      </c>
      <c r="K83">
        <f t="shared" si="5"/>
        <v>113901.74504466388</v>
      </c>
    </row>
    <row r="84" spans="1:11" x14ac:dyDescent="0.3">
      <c r="A84" s="1" t="s">
        <v>19</v>
      </c>
      <c r="B84" t="s">
        <v>52</v>
      </c>
      <c r="C84">
        <v>2020</v>
      </c>
      <c r="D84">
        <v>24.3</v>
      </c>
      <c r="E84">
        <v>1754967.8829999999</v>
      </c>
      <c r="F84">
        <v>5905971</v>
      </c>
      <c r="G84" s="2">
        <v>2646592</v>
      </c>
      <c r="H84" s="2">
        <v>116848</v>
      </c>
      <c r="I84" s="2">
        <f t="shared" si="3"/>
        <v>0.95771646932808385</v>
      </c>
      <c r="J84" s="2">
        <f t="shared" si="4"/>
        <v>4.2283530671916161E-2</v>
      </c>
      <c r="K84">
        <f t="shared" si="5"/>
        <v>297151.45621270407</v>
      </c>
    </row>
    <row r="85" spans="1:11" x14ac:dyDescent="0.3">
      <c r="A85" s="1" t="s">
        <v>20</v>
      </c>
      <c r="B85" t="s">
        <v>53</v>
      </c>
      <c r="C85">
        <v>2020</v>
      </c>
      <c r="D85">
        <v>61.7</v>
      </c>
      <c r="E85">
        <v>346133.85100000002</v>
      </c>
      <c r="F85">
        <v>4204445</v>
      </c>
      <c r="G85" s="2">
        <v>1863594</v>
      </c>
      <c r="H85" s="2">
        <v>32219</v>
      </c>
      <c r="I85" s="2">
        <f t="shared" si="3"/>
        <v>0.98300518036325313</v>
      </c>
      <c r="J85" s="2">
        <f t="shared" si="4"/>
        <v>1.6994819636746872E-2</v>
      </c>
      <c r="K85">
        <f t="shared" si="5"/>
        <v>82325.693640896716</v>
      </c>
    </row>
    <row r="86" spans="1:11" x14ac:dyDescent="0.3">
      <c r="A86" s="1" t="s">
        <v>21</v>
      </c>
      <c r="B86" t="s">
        <v>54</v>
      </c>
      <c r="C86">
        <v>2020</v>
      </c>
      <c r="D86">
        <v>62.4</v>
      </c>
      <c r="E86">
        <v>755443.26800000004</v>
      </c>
      <c r="F86">
        <v>6705217</v>
      </c>
      <c r="G86" s="2">
        <v>2776828</v>
      </c>
      <c r="H86" s="2">
        <v>177350</v>
      </c>
      <c r="I86" s="2">
        <f t="shared" si="3"/>
        <v>0.93996637981868392</v>
      </c>
      <c r="J86" s="2">
        <f t="shared" si="4"/>
        <v>6.003362018131609E-2</v>
      </c>
      <c r="K86">
        <f t="shared" si="5"/>
        <v>112664.99920882501</v>
      </c>
    </row>
    <row r="87" spans="1:11" x14ac:dyDescent="0.3">
      <c r="A87" s="1" t="s">
        <v>22</v>
      </c>
      <c r="B87" t="s">
        <v>55</v>
      </c>
      <c r="C87">
        <v>2020</v>
      </c>
      <c r="D87">
        <v>31.3</v>
      </c>
      <c r="E87">
        <v>547557.53599999996</v>
      </c>
      <c r="F87">
        <v>2419819</v>
      </c>
      <c r="G87" s="2">
        <v>986148</v>
      </c>
      <c r="H87" s="2">
        <v>73202</v>
      </c>
      <c r="I87" s="2">
        <f t="shared" si="3"/>
        <v>0.93089913626280263</v>
      </c>
      <c r="J87" s="2">
        <f t="shared" si="4"/>
        <v>6.9100863737197343E-2</v>
      </c>
      <c r="K87">
        <f t="shared" si="5"/>
        <v>226280.36890362459</v>
      </c>
    </row>
    <row r="88" spans="1:11" x14ac:dyDescent="0.3">
      <c r="A88" s="1" t="s">
        <v>23</v>
      </c>
      <c r="B88" t="s">
        <v>56</v>
      </c>
      <c r="C88">
        <v>2020</v>
      </c>
      <c r="D88">
        <v>47.5</v>
      </c>
      <c r="E88">
        <v>295596.02600000001</v>
      </c>
      <c r="F88">
        <v>1898241</v>
      </c>
      <c r="G88" s="2">
        <v>805211</v>
      </c>
      <c r="H88" s="2">
        <v>75536</v>
      </c>
      <c r="I88" s="2">
        <f t="shared" si="3"/>
        <v>0.91423643793280018</v>
      </c>
      <c r="J88" s="2">
        <f t="shared" si="4"/>
        <v>8.5763562067199775E-2</v>
      </c>
      <c r="K88">
        <f t="shared" si="5"/>
        <v>155721.02067124247</v>
      </c>
    </row>
    <row r="89" spans="1:11" x14ac:dyDescent="0.3">
      <c r="A89" s="1" t="s">
        <v>24</v>
      </c>
      <c r="B89" t="s">
        <v>57</v>
      </c>
      <c r="C89">
        <v>2020</v>
      </c>
      <c r="D89">
        <v>42.8</v>
      </c>
      <c r="E89">
        <v>506947.06900000002</v>
      </c>
      <c r="F89">
        <v>2871697</v>
      </c>
      <c r="G89" s="2">
        <v>1207930</v>
      </c>
      <c r="H89" s="2">
        <v>40776</v>
      </c>
      <c r="I89" s="2">
        <f t="shared" si="3"/>
        <v>0.96734539595389146</v>
      </c>
      <c r="J89" s="2">
        <f t="shared" si="4"/>
        <v>3.265460404610853E-2</v>
      </c>
      <c r="K89">
        <f t="shared" si="5"/>
        <v>176532.22780815663</v>
      </c>
    </row>
    <row r="90" spans="1:11" x14ac:dyDescent="0.3">
      <c r="A90" s="1" t="s">
        <v>25</v>
      </c>
      <c r="B90" t="s">
        <v>58</v>
      </c>
      <c r="C90">
        <v>2020</v>
      </c>
      <c r="D90">
        <v>28.1</v>
      </c>
      <c r="E90">
        <v>485228.739</v>
      </c>
      <c r="F90">
        <v>3079773</v>
      </c>
      <c r="G90" s="2">
        <v>1267352</v>
      </c>
      <c r="H90" s="2">
        <v>31551</v>
      </c>
      <c r="I90" s="2">
        <f t="shared" si="3"/>
        <v>0.97570950255715783</v>
      </c>
      <c r="J90" s="2">
        <f t="shared" si="4"/>
        <v>2.4290497442842153E-2</v>
      </c>
      <c r="K90">
        <f t="shared" si="5"/>
        <v>157553.41026757492</v>
      </c>
    </row>
    <row r="91" spans="1:11" x14ac:dyDescent="0.3">
      <c r="A91" s="1" t="s">
        <v>26</v>
      </c>
      <c r="B91" t="s">
        <v>59</v>
      </c>
      <c r="C91">
        <v>2020</v>
      </c>
      <c r="D91">
        <v>29.9</v>
      </c>
      <c r="E91">
        <v>737229.37899999996</v>
      </c>
      <c r="F91">
        <v>3002286</v>
      </c>
      <c r="G91" s="2">
        <v>1326875</v>
      </c>
      <c r="H91" s="2">
        <v>69017</v>
      </c>
      <c r="I91" s="2">
        <f t="shared" si="3"/>
        <v>0.950557063153883</v>
      </c>
      <c r="J91" s="2">
        <f t="shared" si="4"/>
        <v>4.9442936846117037E-2</v>
      </c>
      <c r="K91">
        <f t="shared" si="5"/>
        <v>245556.01265169276</v>
      </c>
    </row>
    <row r="92" spans="1:11" x14ac:dyDescent="0.3">
      <c r="A92" s="1" t="s">
        <v>27</v>
      </c>
      <c r="B92" t="s">
        <v>60</v>
      </c>
      <c r="C92">
        <v>2020</v>
      </c>
      <c r="D92">
        <v>54.5</v>
      </c>
      <c r="E92">
        <v>465930.31699999998</v>
      </c>
      <c r="F92">
        <v>2440449</v>
      </c>
      <c r="G92" s="2">
        <v>866293</v>
      </c>
      <c r="H92" s="2">
        <v>74927</v>
      </c>
      <c r="I92" s="2">
        <f t="shared" si="3"/>
        <v>0.92039374428932663</v>
      </c>
      <c r="J92" s="2">
        <f t="shared" si="4"/>
        <v>7.9606255710673382E-2</v>
      </c>
      <c r="K92">
        <f t="shared" si="5"/>
        <v>190919.91555652258</v>
      </c>
    </row>
    <row r="93" spans="1:11" x14ac:dyDescent="0.3">
      <c r="A93" s="1" t="s">
        <v>28</v>
      </c>
      <c r="B93" t="s">
        <v>61</v>
      </c>
      <c r="C93">
        <v>2020</v>
      </c>
      <c r="D93">
        <v>34.9</v>
      </c>
      <c r="E93">
        <v>693797.90300000005</v>
      </c>
      <c r="F93">
        <v>3595971</v>
      </c>
      <c r="G93" s="2">
        <v>1545263</v>
      </c>
      <c r="H93" s="2">
        <v>52634</v>
      </c>
      <c r="I93" s="2">
        <f t="shared" si="3"/>
        <v>0.96706045508565319</v>
      </c>
      <c r="J93" s="2">
        <f t="shared" si="4"/>
        <v>3.2939544914346794E-2</v>
      </c>
      <c r="K93">
        <f t="shared" si="5"/>
        <v>192937.56901821512</v>
      </c>
    </row>
    <row r="94" spans="1:11" x14ac:dyDescent="0.3">
      <c r="A94" s="1" t="s">
        <v>29</v>
      </c>
      <c r="B94" t="s">
        <v>62</v>
      </c>
      <c r="C94">
        <v>2020</v>
      </c>
      <c r="D94">
        <v>59.3</v>
      </c>
      <c r="E94">
        <v>133023.82199999999</v>
      </c>
      <c r="F94">
        <v>1369950</v>
      </c>
      <c r="G94" s="2">
        <v>570319</v>
      </c>
      <c r="H94" s="2">
        <v>33711</v>
      </c>
      <c r="I94" s="2">
        <f t="shared" si="3"/>
        <v>0.94418985811962985</v>
      </c>
      <c r="J94" s="2">
        <f t="shared" si="4"/>
        <v>5.581014188037018E-2</v>
      </c>
      <c r="K94">
        <f t="shared" si="5"/>
        <v>97101.224132267584</v>
      </c>
    </row>
    <row r="95" spans="1:11" x14ac:dyDescent="0.3">
      <c r="A95" s="1" t="s">
        <v>30</v>
      </c>
      <c r="B95" t="s">
        <v>63</v>
      </c>
      <c r="C95">
        <v>2020</v>
      </c>
      <c r="D95">
        <v>58.6</v>
      </c>
      <c r="E95">
        <v>969160.89300000004</v>
      </c>
      <c r="F95">
        <v>8169287</v>
      </c>
      <c r="G95" s="2">
        <v>3188634</v>
      </c>
      <c r="H95" s="2">
        <v>111013</v>
      </c>
      <c r="I95" s="2">
        <f t="shared" si="3"/>
        <v>0.96635609809170497</v>
      </c>
      <c r="J95" s="2">
        <f t="shared" si="4"/>
        <v>3.364390190829504E-2</v>
      </c>
      <c r="K95">
        <f t="shared" si="5"/>
        <v>118634.69761804181</v>
      </c>
    </row>
    <row r="96" spans="1:11" x14ac:dyDescent="0.3">
      <c r="A96" s="1" t="s">
        <v>31</v>
      </c>
      <c r="B96" t="s">
        <v>64</v>
      </c>
      <c r="C96">
        <v>2020</v>
      </c>
      <c r="D96">
        <v>49.5</v>
      </c>
      <c r="E96">
        <v>333210.62199999997</v>
      </c>
      <c r="F96">
        <v>2363123</v>
      </c>
      <c r="G96" s="2">
        <v>1130619</v>
      </c>
      <c r="H96" s="2">
        <v>31072</v>
      </c>
      <c r="I96" s="2">
        <f t="shared" si="3"/>
        <v>0.9732527840880234</v>
      </c>
      <c r="J96" s="2">
        <f t="shared" si="4"/>
        <v>2.6747215911976593E-2</v>
      </c>
      <c r="K96">
        <f t="shared" si="5"/>
        <v>141004.34975242507</v>
      </c>
    </row>
    <row r="97" spans="1:11" x14ac:dyDescent="0.3">
      <c r="A97" s="1" t="s">
        <v>32</v>
      </c>
      <c r="B97" t="s">
        <v>65</v>
      </c>
      <c r="C97">
        <v>2020</v>
      </c>
      <c r="D97">
        <v>45.8</v>
      </c>
      <c r="E97">
        <v>210122.87100000001</v>
      </c>
      <c r="F97">
        <v>1647038</v>
      </c>
      <c r="G97" s="2">
        <v>675220</v>
      </c>
      <c r="H97" s="2">
        <v>29317</v>
      </c>
      <c r="I97" s="2">
        <f t="shared" si="3"/>
        <v>0.95838827485284661</v>
      </c>
      <c r="J97" s="2">
        <f t="shared" si="4"/>
        <v>4.1611725147153382E-2</v>
      </c>
      <c r="K97">
        <f t="shared" si="5"/>
        <v>127576.21317783803</v>
      </c>
    </row>
    <row r="98" spans="1:11" x14ac:dyDescent="0.3">
      <c r="A98" s="1" t="s">
        <v>1</v>
      </c>
      <c r="B98" t="s">
        <v>34</v>
      </c>
      <c r="C98">
        <v>2022</v>
      </c>
      <c r="D98">
        <v>23.7</v>
      </c>
      <c r="E98">
        <v>316500.2</v>
      </c>
      <c r="F98">
        <v>1491126</v>
      </c>
      <c r="G98" s="2">
        <v>638407</v>
      </c>
      <c r="H98" s="2">
        <v>24994</v>
      </c>
      <c r="I98" s="2">
        <f t="shared" si="3"/>
        <v>0.96232444630020153</v>
      </c>
      <c r="J98" s="2">
        <f t="shared" si="4"/>
        <v>3.7675553699798463E-2</v>
      </c>
      <c r="K98">
        <f t="shared" si="5"/>
        <v>212255.83887612447</v>
      </c>
    </row>
    <row r="99" spans="1:11" x14ac:dyDescent="0.3">
      <c r="A99" s="1" t="s">
        <v>2</v>
      </c>
      <c r="B99" t="s">
        <v>35</v>
      </c>
      <c r="C99">
        <v>2022</v>
      </c>
      <c r="D99">
        <v>13.4</v>
      </c>
      <c r="E99">
        <v>929458.73400000005</v>
      </c>
      <c r="F99">
        <v>3948201</v>
      </c>
      <c r="G99" s="2">
        <v>1798153</v>
      </c>
      <c r="H99" s="2">
        <v>49940</v>
      </c>
      <c r="I99" s="2">
        <f t="shared" si="3"/>
        <v>0.97297755037219447</v>
      </c>
      <c r="J99" s="2">
        <f t="shared" si="4"/>
        <v>2.7022449627805527E-2</v>
      </c>
      <c r="K99">
        <f t="shared" si="5"/>
        <v>235413.22592238846</v>
      </c>
    </row>
    <row r="100" spans="1:11" x14ac:dyDescent="0.3">
      <c r="A100" s="1" t="s">
        <v>3</v>
      </c>
      <c r="B100" t="s">
        <v>36</v>
      </c>
      <c r="C100">
        <v>2022</v>
      </c>
      <c r="D100">
        <v>13.3</v>
      </c>
      <c r="E100">
        <v>177420.70300000001</v>
      </c>
      <c r="F100">
        <v>849224</v>
      </c>
      <c r="G100" s="2">
        <v>431360</v>
      </c>
      <c r="H100" s="2">
        <v>12658</v>
      </c>
      <c r="I100" s="2">
        <f t="shared" si="3"/>
        <v>0.9714921467147728</v>
      </c>
      <c r="J100" s="2">
        <f t="shared" si="4"/>
        <v>2.8507853285227175E-2</v>
      </c>
      <c r="K100">
        <f t="shared" si="5"/>
        <v>208920.9713809313</v>
      </c>
    </row>
    <row r="101" spans="1:11" x14ac:dyDescent="0.3">
      <c r="A101" s="1" t="s">
        <v>4</v>
      </c>
      <c r="B101" t="s">
        <v>37</v>
      </c>
      <c r="C101">
        <v>2022</v>
      </c>
      <c r="D101">
        <v>45.1</v>
      </c>
      <c r="E101">
        <v>473100.97399999999</v>
      </c>
      <c r="F101">
        <v>945445</v>
      </c>
      <c r="G101" s="2">
        <v>426582</v>
      </c>
      <c r="H101" s="2">
        <v>8601</v>
      </c>
      <c r="I101" s="2">
        <f t="shared" si="3"/>
        <v>0.98023590075899103</v>
      </c>
      <c r="J101" s="2">
        <f t="shared" si="4"/>
        <v>1.9764099241008956E-2</v>
      </c>
      <c r="K101">
        <f t="shared" si="5"/>
        <v>500400.31308008399</v>
      </c>
    </row>
    <row r="102" spans="1:11" x14ac:dyDescent="0.3">
      <c r="A102" s="1" t="s">
        <v>5</v>
      </c>
      <c r="B102" t="s">
        <v>38</v>
      </c>
      <c r="C102">
        <v>2022</v>
      </c>
      <c r="D102">
        <v>18.2</v>
      </c>
      <c r="E102">
        <v>922287.36499999999</v>
      </c>
      <c r="F102">
        <v>5862882</v>
      </c>
      <c r="G102" s="2">
        <v>1487931</v>
      </c>
      <c r="H102" s="2">
        <v>52604</v>
      </c>
      <c r="I102" s="2">
        <f t="shared" si="3"/>
        <v>0.96585342105177752</v>
      </c>
      <c r="J102" s="2">
        <f t="shared" si="4"/>
        <v>3.4146578948222532E-2</v>
      </c>
      <c r="K102">
        <f t="shared" si="5"/>
        <v>157309.55611932834</v>
      </c>
    </row>
    <row r="103" spans="1:11" x14ac:dyDescent="0.3">
      <c r="A103" s="1" t="s">
        <v>6</v>
      </c>
      <c r="B103" t="s">
        <v>39</v>
      </c>
      <c r="C103">
        <v>2022</v>
      </c>
      <c r="D103">
        <v>20.5</v>
      </c>
      <c r="E103">
        <v>148129.75399999999</v>
      </c>
      <c r="F103">
        <v>3898274</v>
      </c>
      <c r="G103" s="2">
        <v>376259</v>
      </c>
      <c r="H103" s="2">
        <v>9085</v>
      </c>
      <c r="I103" s="2">
        <f t="shared" si="3"/>
        <v>0.9764236630127886</v>
      </c>
      <c r="J103" s="2">
        <f t="shared" si="4"/>
        <v>2.3576336987211427E-2</v>
      </c>
      <c r="K103">
        <f t="shared" si="5"/>
        <v>37998.805112211201</v>
      </c>
    </row>
    <row r="104" spans="1:11" x14ac:dyDescent="0.3">
      <c r="A104" s="1" t="s">
        <v>7</v>
      </c>
      <c r="B104" t="s">
        <v>40</v>
      </c>
      <c r="C104">
        <v>2022</v>
      </c>
      <c r="D104">
        <v>67.400000000000006</v>
      </c>
      <c r="E104">
        <v>368788.55699999997</v>
      </c>
      <c r="F104">
        <v>9237644</v>
      </c>
      <c r="G104" s="2">
        <v>2159655</v>
      </c>
      <c r="H104" s="2">
        <v>51452</v>
      </c>
      <c r="I104" s="2">
        <f t="shared" si="3"/>
        <v>0.97673020799083898</v>
      </c>
      <c r="J104" s="2">
        <f t="shared" si="4"/>
        <v>2.3269792009161024E-2</v>
      </c>
      <c r="K104">
        <f t="shared" si="5"/>
        <v>39922.360831398139</v>
      </c>
    </row>
    <row r="105" spans="1:11" x14ac:dyDescent="0.3">
      <c r="A105" s="1" t="s">
        <v>8</v>
      </c>
      <c r="B105" t="s">
        <v>41</v>
      </c>
      <c r="C105">
        <v>2022</v>
      </c>
      <c r="D105">
        <v>17.600000000000001</v>
      </c>
      <c r="E105">
        <v>919617.14399999997</v>
      </c>
      <c r="F105">
        <v>3273658</v>
      </c>
      <c r="G105" s="2">
        <v>1818252</v>
      </c>
      <c r="H105" s="2">
        <v>36900</v>
      </c>
      <c r="I105" s="2">
        <f t="shared" si="3"/>
        <v>0.98010944655747889</v>
      </c>
      <c r="J105" s="2">
        <f t="shared" si="4"/>
        <v>1.9890553442521153E-2</v>
      </c>
      <c r="K105">
        <f t="shared" si="5"/>
        <v>280914.23844518885</v>
      </c>
    </row>
    <row r="106" spans="1:11" x14ac:dyDescent="0.3">
      <c r="A106" s="1" t="s">
        <v>9</v>
      </c>
      <c r="B106" t="s">
        <v>42</v>
      </c>
      <c r="C106">
        <v>2022</v>
      </c>
      <c r="D106">
        <v>24</v>
      </c>
      <c r="E106">
        <v>3640387.943</v>
      </c>
      <c r="F106">
        <v>752247</v>
      </c>
      <c r="G106" s="2">
        <v>4698174</v>
      </c>
      <c r="H106" s="2">
        <v>222957</v>
      </c>
      <c r="I106" s="2">
        <f t="shared" si="3"/>
        <v>0.95469395145140412</v>
      </c>
      <c r="J106" s="2">
        <f t="shared" si="4"/>
        <v>4.5306048548595844E-2</v>
      </c>
      <c r="K106">
        <f t="shared" si="5"/>
        <v>4839351.8923970452</v>
      </c>
    </row>
    <row r="107" spans="1:11" x14ac:dyDescent="0.3">
      <c r="A107" s="1" t="s">
        <v>10</v>
      </c>
      <c r="B107" t="s">
        <v>43</v>
      </c>
      <c r="C107">
        <v>2022</v>
      </c>
      <c r="D107">
        <v>34.299999999999997</v>
      </c>
      <c r="E107">
        <v>296963.12199999997</v>
      </c>
      <c r="F107">
        <v>1884286</v>
      </c>
      <c r="G107" s="2">
        <v>799362</v>
      </c>
      <c r="H107" s="2">
        <v>25464</v>
      </c>
      <c r="I107" s="2">
        <f t="shared" si="3"/>
        <v>0.96912803427632011</v>
      </c>
      <c r="J107" s="2">
        <f t="shared" si="4"/>
        <v>3.0871965723679902E-2</v>
      </c>
      <c r="K107">
        <f t="shared" si="5"/>
        <v>157599.81340412231</v>
      </c>
    </row>
    <row r="108" spans="1:11" x14ac:dyDescent="0.3">
      <c r="A108" s="1" t="s">
        <v>11</v>
      </c>
      <c r="B108" t="s">
        <v>44</v>
      </c>
      <c r="C108">
        <v>2022</v>
      </c>
      <c r="D108">
        <v>33</v>
      </c>
      <c r="E108">
        <v>1128686.273</v>
      </c>
      <c r="F108">
        <v>6360814</v>
      </c>
      <c r="G108" s="2">
        <v>2755351</v>
      </c>
      <c r="H108" s="2">
        <v>87292</v>
      </c>
      <c r="I108" s="2">
        <f t="shared" si="3"/>
        <v>0.96929195822338576</v>
      </c>
      <c r="J108" s="2">
        <f t="shared" si="4"/>
        <v>3.070804177661423E-2</v>
      </c>
      <c r="K108">
        <f t="shared" si="5"/>
        <v>177443.68456615772</v>
      </c>
    </row>
    <row r="109" spans="1:11" x14ac:dyDescent="0.3">
      <c r="A109" s="1" t="s">
        <v>12</v>
      </c>
      <c r="B109" t="s">
        <v>45</v>
      </c>
      <c r="C109">
        <v>2022</v>
      </c>
      <c r="D109">
        <v>60.4</v>
      </c>
      <c r="E109">
        <v>306830.76699999999</v>
      </c>
      <c r="F109">
        <v>3599951</v>
      </c>
      <c r="G109" s="2">
        <v>1586943</v>
      </c>
      <c r="H109" s="2">
        <v>12901</v>
      </c>
      <c r="I109" s="2">
        <f t="shared" si="3"/>
        <v>0.99193608876865491</v>
      </c>
      <c r="J109" s="2">
        <f t="shared" si="4"/>
        <v>8.063911231345056E-3</v>
      </c>
      <c r="K109">
        <f t="shared" si="5"/>
        <v>85231.928712363035</v>
      </c>
    </row>
    <row r="110" spans="1:11" x14ac:dyDescent="0.3">
      <c r="A110" s="1" t="s">
        <v>13</v>
      </c>
      <c r="B110" t="s">
        <v>46</v>
      </c>
      <c r="C110">
        <v>2022</v>
      </c>
      <c r="D110">
        <v>41</v>
      </c>
      <c r="E110">
        <v>426819.09399999998</v>
      </c>
      <c r="F110">
        <v>3190331</v>
      </c>
      <c r="G110" s="2">
        <v>1450645</v>
      </c>
      <c r="H110" s="2">
        <v>32645</v>
      </c>
      <c r="I110" s="2">
        <f t="shared" si="3"/>
        <v>0.97799149188627987</v>
      </c>
      <c r="J110" s="2">
        <f t="shared" si="4"/>
        <v>2.2008508113720175E-2</v>
      </c>
      <c r="K110">
        <f t="shared" si="5"/>
        <v>133785.20724025188</v>
      </c>
    </row>
    <row r="111" spans="1:11" x14ac:dyDescent="0.3">
      <c r="A111" s="1" t="s">
        <v>14</v>
      </c>
      <c r="B111" t="s">
        <v>47</v>
      </c>
      <c r="C111">
        <v>2022</v>
      </c>
      <c r="D111">
        <v>21.8</v>
      </c>
      <c r="E111">
        <v>1783505.051</v>
      </c>
      <c r="F111">
        <v>8647986</v>
      </c>
      <c r="G111" s="2">
        <v>4066247</v>
      </c>
      <c r="H111" s="2">
        <v>98380</v>
      </c>
      <c r="I111" s="2">
        <f t="shared" si="3"/>
        <v>0.9763772361846571</v>
      </c>
      <c r="J111" s="2">
        <f t="shared" si="4"/>
        <v>2.3622763815342885E-2</v>
      </c>
      <c r="K111">
        <f t="shared" si="5"/>
        <v>206233.57288043713</v>
      </c>
    </row>
    <row r="112" spans="1:11" x14ac:dyDescent="0.3">
      <c r="A112" s="1" t="s">
        <v>15</v>
      </c>
      <c r="B112" t="s">
        <v>48</v>
      </c>
      <c r="C112">
        <v>2022</v>
      </c>
      <c r="D112">
        <v>42.9</v>
      </c>
      <c r="E112">
        <v>2184862.9789999998</v>
      </c>
      <c r="F112">
        <v>17379644</v>
      </c>
      <c r="G112" s="2">
        <v>7850683</v>
      </c>
      <c r="H112" s="2">
        <v>366608</v>
      </c>
      <c r="I112" s="2">
        <f t="shared" si="3"/>
        <v>0.95538578346562142</v>
      </c>
      <c r="J112" s="2">
        <f t="shared" si="4"/>
        <v>4.4614216534378547E-2</v>
      </c>
      <c r="K112">
        <f t="shared" si="5"/>
        <v>125713.90869686397</v>
      </c>
    </row>
    <row r="113" spans="1:11" x14ac:dyDescent="0.3">
      <c r="A113" s="1" t="s">
        <v>16</v>
      </c>
      <c r="B113" t="s">
        <v>49</v>
      </c>
      <c r="C113">
        <v>2022</v>
      </c>
      <c r="D113">
        <v>41.7</v>
      </c>
      <c r="E113">
        <v>646901.48300000001</v>
      </c>
      <c r="F113">
        <v>4901506</v>
      </c>
      <c r="G113" s="2">
        <v>2208839</v>
      </c>
      <c r="H113" s="2">
        <v>37480</v>
      </c>
      <c r="I113" s="2">
        <f t="shared" si="3"/>
        <v>0.98331492544024246</v>
      </c>
      <c r="J113" s="2">
        <f t="shared" si="4"/>
        <v>1.668507455975754E-2</v>
      </c>
      <c r="K113">
        <f t="shared" si="5"/>
        <v>131980.14712212939</v>
      </c>
    </row>
    <row r="114" spans="1:11" x14ac:dyDescent="0.3">
      <c r="A114" s="1" t="s">
        <v>17</v>
      </c>
      <c r="B114" t="s">
        <v>50</v>
      </c>
      <c r="C114">
        <v>2022</v>
      </c>
      <c r="D114">
        <v>41.1</v>
      </c>
      <c r="E114">
        <v>256739.579</v>
      </c>
      <c r="F114">
        <v>2017078</v>
      </c>
      <c r="G114" s="2">
        <v>859002</v>
      </c>
      <c r="H114" s="2">
        <v>24073</v>
      </c>
      <c r="I114" s="2">
        <f t="shared" si="3"/>
        <v>0.97273957478130402</v>
      </c>
      <c r="J114" s="2">
        <f t="shared" si="4"/>
        <v>2.7260425218696035E-2</v>
      </c>
      <c r="K114">
        <f t="shared" si="5"/>
        <v>127282.92064064949</v>
      </c>
    </row>
    <row r="115" spans="1:11" x14ac:dyDescent="0.3">
      <c r="A115" s="1" t="s">
        <v>18</v>
      </c>
      <c r="B115" t="s">
        <v>51</v>
      </c>
      <c r="C115">
        <v>2022</v>
      </c>
      <c r="D115">
        <v>29.3</v>
      </c>
      <c r="E115">
        <v>161868.67800000001</v>
      </c>
      <c r="F115">
        <v>1278605</v>
      </c>
      <c r="G115" s="2">
        <v>607893</v>
      </c>
      <c r="H115" s="2">
        <v>14823</v>
      </c>
      <c r="I115" s="2">
        <f t="shared" si="3"/>
        <v>0.9761962114350683</v>
      </c>
      <c r="J115" s="2">
        <f t="shared" si="4"/>
        <v>2.3803788564931688E-2</v>
      </c>
      <c r="K115">
        <f t="shared" si="5"/>
        <v>126597.87659206713</v>
      </c>
    </row>
    <row r="116" spans="1:11" x14ac:dyDescent="0.3">
      <c r="A116" s="1" t="s">
        <v>19</v>
      </c>
      <c r="B116" t="s">
        <v>52</v>
      </c>
      <c r="C116">
        <v>2022</v>
      </c>
      <c r="D116">
        <v>16</v>
      </c>
      <c r="E116">
        <v>1945060.16</v>
      </c>
      <c r="F116">
        <v>6095498</v>
      </c>
      <c r="G116" s="2">
        <v>2815031</v>
      </c>
      <c r="H116" s="2">
        <v>104272</v>
      </c>
      <c r="I116" s="2">
        <f t="shared" si="3"/>
        <v>0.96428188509380497</v>
      </c>
      <c r="J116" s="2">
        <f t="shared" si="4"/>
        <v>3.5718114906195073E-2</v>
      </c>
      <c r="K116">
        <f t="shared" si="5"/>
        <v>319097.82596926455</v>
      </c>
    </row>
    <row r="117" spans="1:11" x14ac:dyDescent="0.3">
      <c r="A117" s="1" t="s">
        <v>20</v>
      </c>
      <c r="B117" t="s">
        <v>53</v>
      </c>
      <c r="C117">
        <v>2022</v>
      </c>
      <c r="D117">
        <v>58.4</v>
      </c>
      <c r="E117">
        <v>407238.09399999998</v>
      </c>
      <c r="F117">
        <v>4244538</v>
      </c>
      <c r="G117" s="2">
        <v>1906143</v>
      </c>
      <c r="H117" s="2">
        <v>24781</v>
      </c>
      <c r="I117" s="2">
        <f t="shared" si="3"/>
        <v>0.98716624786889595</v>
      </c>
      <c r="J117" s="2">
        <f t="shared" si="4"/>
        <v>1.2833752131104072E-2</v>
      </c>
      <c r="K117">
        <f t="shared" si="5"/>
        <v>95944.033013722583</v>
      </c>
    </row>
    <row r="118" spans="1:11" x14ac:dyDescent="0.3">
      <c r="A118" s="1" t="s">
        <v>21</v>
      </c>
      <c r="B118" t="s">
        <v>54</v>
      </c>
      <c r="C118">
        <v>2022</v>
      </c>
      <c r="D118">
        <v>54</v>
      </c>
      <c r="E118">
        <v>820789.745</v>
      </c>
      <c r="F118">
        <v>6824785</v>
      </c>
      <c r="G118" s="2">
        <v>2932305</v>
      </c>
      <c r="H118" s="2">
        <v>84247</v>
      </c>
      <c r="I118" s="2">
        <f t="shared" si="3"/>
        <v>0.97207175609769036</v>
      </c>
      <c r="J118" s="2">
        <f t="shared" si="4"/>
        <v>2.7928243902309656E-2</v>
      </c>
      <c r="K118">
        <f t="shared" si="5"/>
        <v>120266.02229960357</v>
      </c>
    </row>
    <row r="119" spans="1:11" x14ac:dyDescent="0.3">
      <c r="A119" s="1" t="s">
        <v>22</v>
      </c>
      <c r="B119" t="s">
        <v>55</v>
      </c>
      <c r="C119">
        <v>2022</v>
      </c>
      <c r="D119">
        <v>21.7</v>
      </c>
      <c r="E119">
        <v>592138.81799999997</v>
      </c>
      <c r="F119">
        <v>2508214</v>
      </c>
      <c r="G119" s="2">
        <v>1070812</v>
      </c>
      <c r="H119" s="2">
        <v>40291</v>
      </c>
      <c r="I119" s="2">
        <f t="shared" si="3"/>
        <v>0.96373783528619761</v>
      </c>
      <c r="J119" s="2">
        <f t="shared" si="4"/>
        <v>3.6262164713802413E-2</v>
      </c>
      <c r="K119">
        <f t="shared" si="5"/>
        <v>236079.86320146525</v>
      </c>
    </row>
    <row r="120" spans="1:11" x14ac:dyDescent="0.3">
      <c r="A120" s="1" t="s">
        <v>23</v>
      </c>
      <c r="B120" t="s">
        <v>56</v>
      </c>
      <c r="C120">
        <v>2022</v>
      </c>
      <c r="D120">
        <v>27</v>
      </c>
      <c r="E120">
        <v>357538.61300000001</v>
      </c>
      <c r="F120">
        <v>1977161</v>
      </c>
      <c r="G120" s="2">
        <v>967707</v>
      </c>
      <c r="H120" s="2">
        <v>19466</v>
      </c>
      <c r="I120" s="2">
        <f t="shared" si="3"/>
        <v>0.98028106522362346</v>
      </c>
      <c r="J120" s="2">
        <f t="shared" si="4"/>
        <v>1.9718934776376582E-2</v>
      </c>
      <c r="K120">
        <f t="shared" si="5"/>
        <v>180834.34429467301</v>
      </c>
    </row>
    <row r="121" spans="1:11" x14ac:dyDescent="0.3">
      <c r="A121" s="1" t="s">
        <v>24</v>
      </c>
      <c r="B121" t="s">
        <v>57</v>
      </c>
      <c r="C121">
        <v>2022</v>
      </c>
      <c r="D121">
        <v>35.5</v>
      </c>
      <c r="E121">
        <v>537933.22199999995</v>
      </c>
      <c r="F121">
        <v>2905759</v>
      </c>
      <c r="G121" s="2">
        <v>1271278</v>
      </c>
      <c r="H121" s="2">
        <v>35445</v>
      </c>
      <c r="I121" s="2">
        <f t="shared" si="3"/>
        <v>0.97287489391401238</v>
      </c>
      <c r="J121" s="2">
        <f t="shared" si="4"/>
        <v>2.7125106085987619E-2</v>
      </c>
      <c r="K121">
        <f t="shared" si="5"/>
        <v>185126.57863229536</v>
      </c>
    </row>
    <row r="122" spans="1:11" x14ac:dyDescent="0.3">
      <c r="A122" s="1" t="s">
        <v>25</v>
      </c>
      <c r="B122" t="s">
        <v>58</v>
      </c>
      <c r="C122">
        <v>2022</v>
      </c>
      <c r="D122">
        <v>21.6</v>
      </c>
      <c r="E122">
        <v>516711.158</v>
      </c>
      <c r="F122">
        <v>3118470</v>
      </c>
      <c r="G122" s="2">
        <v>1425438</v>
      </c>
      <c r="H122" s="2">
        <v>40855</v>
      </c>
      <c r="I122" s="2">
        <f t="shared" si="3"/>
        <v>0.97213721950524212</v>
      </c>
      <c r="J122" s="2">
        <f t="shared" si="4"/>
        <v>2.786278049475787E-2</v>
      </c>
      <c r="K122">
        <f t="shared" si="5"/>
        <v>165693.80433353534</v>
      </c>
    </row>
    <row r="123" spans="1:11" x14ac:dyDescent="0.3">
      <c r="A123" s="1" t="s">
        <v>26</v>
      </c>
      <c r="B123" t="s">
        <v>59</v>
      </c>
      <c r="C123">
        <v>2022</v>
      </c>
      <c r="D123">
        <v>21.7</v>
      </c>
      <c r="E123">
        <v>804668.17599999998</v>
      </c>
      <c r="F123">
        <v>3051188</v>
      </c>
      <c r="G123" s="2">
        <v>1408739</v>
      </c>
      <c r="H123" s="2">
        <v>36831</v>
      </c>
      <c r="I123" s="2">
        <f t="shared" si="3"/>
        <v>0.97452146903989434</v>
      </c>
      <c r="J123" s="2">
        <f t="shared" si="4"/>
        <v>2.5478530960105703E-2</v>
      </c>
      <c r="K123">
        <f t="shared" si="5"/>
        <v>263722.90924059745</v>
      </c>
    </row>
    <row r="124" spans="1:11" x14ac:dyDescent="0.3">
      <c r="A124" s="1" t="s">
        <v>27</v>
      </c>
      <c r="B124" t="s">
        <v>60</v>
      </c>
      <c r="C124">
        <v>2022</v>
      </c>
      <c r="D124">
        <v>46.5</v>
      </c>
      <c r="E124">
        <v>635464.52899999998</v>
      </c>
      <c r="F124">
        <v>2447193</v>
      </c>
      <c r="G124" s="2">
        <v>1043862</v>
      </c>
      <c r="H124" s="2">
        <v>45553</v>
      </c>
      <c r="I124" s="2">
        <f t="shared" si="3"/>
        <v>0.9581858153229027</v>
      </c>
      <c r="J124" s="2">
        <f t="shared" si="4"/>
        <v>4.1814184677097341E-2</v>
      </c>
      <c r="K124">
        <f t="shared" si="5"/>
        <v>259670.78567158373</v>
      </c>
    </row>
    <row r="125" spans="1:11" x14ac:dyDescent="0.3">
      <c r="A125" s="1" t="s">
        <v>28</v>
      </c>
      <c r="B125" t="s">
        <v>61</v>
      </c>
      <c r="C125">
        <v>2022</v>
      </c>
      <c r="D125">
        <v>26.8</v>
      </c>
      <c r="E125">
        <v>746945.74399999995</v>
      </c>
      <c r="F125">
        <v>3652671</v>
      </c>
      <c r="G125" s="2">
        <v>1620369</v>
      </c>
      <c r="H125" s="2">
        <v>52196</v>
      </c>
      <c r="I125" s="2">
        <f t="shared" si="3"/>
        <v>0.96879284213169592</v>
      </c>
      <c r="J125" s="2">
        <f t="shared" si="4"/>
        <v>3.120715786830407E-2</v>
      </c>
      <c r="K125">
        <f t="shared" si="5"/>
        <v>204493.02551475345</v>
      </c>
    </row>
    <row r="126" spans="1:11" x14ac:dyDescent="0.3">
      <c r="A126" s="1" t="s">
        <v>29</v>
      </c>
      <c r="B126" t="s">
        <v>62</v>
      </c>
      <c r="C126">
        <v>2022</v>
      </c>
      <c r="D126">
        <v>52.5</v>
      </c>
      <c r="E126">
        <v>143717.41699999999</v>
      </c>
      <c r="F126">
        <v>1395020</v>
      </c>
      <c r="G126" s="2">
        <v>626938</v>
      </c>
      <c r="H126" s="2">
        <v>21601</v>
      </c>
      <c r="I126" s="2">
        <f t="shared" si="3"/>
        <v>0.96669282803347212</v>
      </c>
      <c r="J126" s="2">
        <f t="shared" si="4"/>
        <v>3.330717196652784E-2</v>
      </c>
      <c r="K126">
        <f t="shared" si="5"/>
        <v>103021.76097833723</v>
      </c>
    </row>
    <row r="127" spans="1:11" x14ac:dyDescent="0.3">
      <c r="A127" s="1" t="s">
        <v>30</v>
      </c>
      <c r="B127" t="s">
        <v>63</v>
      </c>
      <c r="C127">
        <v>2022</v>
      </c>
      <c r="D127">
        <v>51.7</v>
      </c>
      <c r="E127">
        <v>1032888.986</v>
      </c>
      <c r="F127">
        <v>8133233</v>
      </c>
      <c r="G127" s="2">
        <v>3348110</v>
      </c>
      <c r="H127" s="2">
        <v>80682</v>
      </c>
      <c r="I127" s="2">
        <f t="shared" si="3"/>
        <v>0.97646926381069488</v>
      </c>
      <c r="J127" s="2">
        <f t="shared" si="4"/>
        <v>2.3530736189305155E-2</v>
      </c>
      <c r="K127">
        <f t="shared" si="5"/>
        <v>126996.11409140743</v>
      </c>
    </row>
    <row r="128" spans="1:11" x14ac:dyDescent="0.3">
      <c r="A128" s="1" t="s">
        <v>31</v>
      </c>
      <c r="B128" t="s">
        <v>64</v>
      </c>
      <c r="C128">
        <v>2022</v>
      </c>
      <c r="D128">
        <v>38.799999999999997</v>
      </c>
      <c r="E128">
        <v>369864.39199999999</v>
      </c>
      <c r="F128">
        <v>2420401</v>
      </c>
      <c r="G128" s="2">
        <v>1216760</v>
      </c>
      <c r="H128" s="2">
        <v>24684</v>
      </c>
      <c r="I128" s="2">
        <f t="shared" si="3"/>
        <v>0.98011670280737595</v>
      </c>
      <c r="J128" s="2">
        <f t="shared" si="4"/>
        <v>1.9883297192624074E-2</v>
      </c>
      <c r="K128">
        <f t="shared" si="5"/>
        <v>152811.20442439083</v>
      </c>
    </row>
    <row r="129" spans="1:11" x14ac:dyDescent="0.3">
      <c r="A129" s="1" t="s">
        <v>32</v>
      </c>
      <c r="B129" t="s">
        <v>65</v>
      </c>
      <c r="C129">
        <v>2022</v>
      </c>
      <c r="D129">
        <v>44.2</v>
      </c>
      <c r="E129">
        <v>221026.45800000001</v>
      </c>
      <c r="F129">
        <v>1667567</v>
      </c>
      <c r="G129" s="2">
        <v>676123</v>
      </c>
      <c r="H129" s="2">
        <v>16342</v>
      </c>
      <c r="I129" s="2">
        <f t="shared" si="3"/>
        <v>0.97640025127623775</v>
      </c>
      <c r="J129" s="2">
        <f t="shared" si="4"/>
        <v>2.359974872376221E-2</v>
      </c>
      <c r="K129">
        <f t="shared" si="5"/>
        <v>132544.27438297833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 ALBERTO ALEXIS ADONAI</dc:creator>
  <cp:lastModifiedBy>MORALES ALBERTO ALEXIS ADONAI</cp:lastModifiedBy>
  <dcterms:created xsi:type="dcterms:W3CDTF">2024-04-13T14:20:41Z</dcterms:created>
  <dcterms:modified xsi:type="dcterms:W3CDTF">2024-04-13T14:49:29Z</dcterms:modified>
</cp:coreProperties>
</file>